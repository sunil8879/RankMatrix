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 vasarkar\Desktop\META\"/>
    </mc:Choice>
  </mc:AlternateContent>
  <xr:revisionPtr revIDLastSave="0" documentId="13_ncr:1_{55BC2FA8-7FA0-4D37-9E41-CE10C825EF2F}" xr6:coauthVersionLast="47" xr6:coauthVersionMax="47" xr10:uidLastSave="{00000000-0000-0000-0000-000000000000}"/>
  <bookViews>
    <workbookView xWindow="-103" yWindow="-103" windowWidth="16663" windowHeight="8863" firstSheet="1" activeTab="4" xr2:uid="{1A67F2E2-8FFA-43F2-92B6-2CF92F3EEC33}"/>
  </bookViews>
  <sheets>
    <sheet name="Sheet1" sheetId="1" r:id="rId1"/>
    <sheet name="QS_Data" sheetId="2" r:id="rId2"/>
    <sheet name="ARWU_Data" sheetId="3" r:id="rId3"/>
    <sheet name="CWUR_Data" sheetId="4" r:id="rId4"/>
    <sheet name="META_RANK" sheetId="5" r:id="rId5"/>
    <sheet name="Locations" sheetId="6" r:id="rId6"/>
  </sheets>
  <definedNames>
    <definedName name="_xlnm._FilterDatabase" localSheetId="4" hidden="1">META_RANK!$F$1:$F$120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9" i="5"/>
  <c r="B30" i="5"/>
  <c r="B31" i="5"/>
  <c r="B32" i="5"/>
  <c r="B33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27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34" i="5"/>
  <c r="B28" i="5"/>
  <c r="B10" i="5"/>
  <c r="B2" i="5"/>
  <c r="E23" i="5"/>
  <c r="E12" i="5"/>
  <c r="E4" i="5"/>
  <c r="E6" i="5"/>
  <c r="E3" i="5"/>
  <c r="E35" i="5"/>
  <c r="E5" i="5"/>
  <c r="E36" i="5"/>
  <c r="E9" i="5"/>
  <c r="E13" i="5"/>
  <c r="E7" i="5"/>
  <c r="E39" i="5"/>
  <c r="E15" i="5"/>
  <c r="E17" i="5"/>
  <c r="E40" i="5"/>
  <c r="E29" i="5"/>
  <c r="E41" i="5"/>
  <c r="E11" i="5"/>
  <c r="E42" i="5"/>
  <c r="E43" i="5"/>
  <c r="E44" i="5"/>
  <c r="E45" i="5"/>
  <c r="E46" i="5"/>
  <c r="E47" i="5"/>
  <c r="E48" i="5"/>
  <c r="E31" i="5"/>
  <c r="E49" i="5"/>
  <c r="E18" i="5"/>
  <c r="E50" i="5"/>
  <c r="E51" i="5"/>
  <c r="E19" i="5"/>
  <c r="E52" i="5"/>
  <c r="E53" i="5"/>
  <c r="E54" i="5"/>
  <c r="E55" i="5"/>
  <c r="E56" i="5"/>
  <c r="E57" i="5"/>
  <c r="E32" i="5"/>
  <c r="E58" i="5"/>
  <c r="E20" i="5"/>
  <c r="E33" i="5"/>
  <c r="E59" i="5"/>
  <c r="E60" i="5"/>
  <c r="E61" i="5"/>
  <c r="E62" i="5"/>
  <c r="E63" i="5"/>
  <c r="E64" i="5"/>
  <c r="E65" i="5"/>
  <c r="E16" i="5"/>
  <c r="E66" i="5"/>
  <c r="E67" i="5"/>
  <c r="E68" i="5"/>
  <c r="E21" i="5"/>
  <c r="E22" i="5"/>
  <c r="E69" i="5"/>
  <c r="E70" i="5"/>
  <c r="E71" i="5"/>
  <c r="E72" i="5"/>
  <c r="E14" i="5"/>
  <c r="E73" i="5"/>
  <c r="E74" i="5"/>
  <c r="E27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34" i="5"/>
  <c r="E8" i="5"/>
  <c r="E28" i="5"/>
  <c r="E24" i="5"/>
  <c r="E30" i="5"/>
  <c r="E10" i="5"/>
  <c r="E38" i="5"/>
  <c r="E25" i="5"/>
  <c r="E26" i="5"/>
  <c r="E37" i="5"/>
  <c r="D23" i="5"/>
  <c r="D12" i="5"/>
  <c r="D4" i="5"/>
  <c r="D6" i="5"/>
  <c r="D3" i="5"/>
  <c r="D35" i="5"/>
  <c r="D5" i="5"/>
  <c r="D36" i="5"/>
  <c r="D9" i="5"/>
  <c r="D13" i="5"/>
  <c r="D7" i="5"/>
  <c r="D39" i="5"/>
  <c r="D15" i="5"/>
  <c r="D17" i="5"/>
  <c r="D40" i="5"/>
  <c r="D29" i="5"/>
  <c r="D41" i="5"/>
  <c r="D11" i="5"/>
  <c r="D42" i="5"/>
  <c r="D43" i="5"/>
  <c r="D44" i="5"/>
  <c r="D45" i="5"/>
  <c r="D46" i="5"/>
  <c r="D47" i="5"/>
  <c r="D48" i="5"/>
  <c r="D31" i="5"/>
  <c r="D49" i="5"/>
  <c r="D18" i="5"/>
  <c r="D50" i="5"/>
  <c r="D51" i="5"/>
  <c r="D19" i="5"/>
  <c r="D52" i="5"/>
  <c r="D53" i="5"/>
  <c r="D54" i="5"/>
  <c r="D55" i="5"/>
  <c r="D56" i="5"/>
  <c r="D57" i="5"/>
  <c r="D32" i="5"/>
  <c r="D58" i="5"/>
  <c r="D20" i="5"/>
  <c r="D33" i="5"/>
  <c r="D59" i="5"/>
  <c r="D60" i="5"/>
  <c r="D61" i="5"/>
  <c r="D62" i="5"/>
  <c r="D63" i="5"/>
  <c r="D64" i="5"/>
  <c r="D65" i="5"/>
  <c r="D16" i="5"/>
  <c r="D66" i="5"/>
  <c r="D67" i="5"/>
  <c r="D68" i="5"/>
  <c r="D21" i="5"/>
  <c r="D22" i="5"/>
  <c r="D69" i="5"/>
  <c r="D70" i="5"/>
  <c r="D71" i="5"/>
  <c r="D72" i="5"/>
  <c r="D14" i="5"/>
  <c r="D73" i="5"/>
  <c r="D74" i="5"/>
  <c r="D27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34" i="5"/>
  <c r="D8" i="5"/>
  <c r="D28" i="5"/>
  <c r="D24" i="5"/>
  <c r="D30" i="5"/>
  <c r="D10" i="5"/>
  <c r="D38" i="5"/>
  <c r="D25" i="5"/>
  <c r="D26" i="5"/>
  <c r="D37" i="5"/>
  <c r="C23" i="5"/>
  <c r="C12" i="5"/>
  <c r="C4" i="5"/>
  <c r="C6" i="5"/>
  <c r="C3" i="5"/>
  <c r="C35" i="5"/>
  <c r="C5" i="5"/>
  <c r="C36" i="5"/>
  <c r="C9" i="5"/>
  <c r="C13" i="5"/>
  <c r="C7" i="5"/>
  <c r="C39" i="5"/>
  <c r="C15" i="5"/>
  <c r="C17" i="5"/>
  <c r="C40" i="5"/>
  <c r="C29" i="5"/>
  <c r="C41" i="5"/>
  <c r="C11" i="5"/>
  <c r="C42" i="5"/>
  <c r="C43" i="5"/>
  <c r="C44" i="5"/>
  <c r="C45" i="5"/>
  <c r="C46" i="5"/>
  <c r="C47" i="5"/>
  <c r="C48" i="5"/>
  <c r="C31" i="5"/>
  <c r="C49" i="5"/>
  <c r="C18" i="5"/>
  <c r="C50" i="5"/>
  <c r="C51" i="5"/>
  <c r="C19" i="5"/>
  <c r="C52" i="5"/>
  <c r="C53" i="5"/>
  <c r="C54" i="5"/>
  <c r="C55" i="5"/>
  <c r="C56" i="5"/>
  <c r="C57" i="5"/>
  <c r="C32" i="5"/>
  <c r="C58" i="5"/>
  <c r="C20" i="5"/>
  <c r="C33" i="5"/>
  <c r="C59" i="5"/>
  <c r="C60" i="5"/>
  <c r="C61" i="5"/>
  <c r="C62" i="5"/>
  <c r="C63" i="5"/>
  <c r="C64" i="5"/>
  <c r="C65" i="5"/>
  <c r="C16" i="5"/>
  <c r="C66" i="5"/>
  <c r="C67" i="5"/>
  <c r="C68" i="5"/>
  <c r="C21" i="5"/>
  <c r="C22" i="5"/>
  <c r="C69" i="5"/>
  <c r="C70" i="5"/>
  <c r="C71" i="5"/>
  <c r="C72" i="5"/>
  <c r="C14" i="5"/>
  <c r="C73" i="5"/>
  <c r="C74" i="5"/>
  <c r="C27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34" i="5"/>
  <c r="C8" i="5"/>
  <c r="C28" i="5"/>
  <c r="C24" i="5"/>
  <c r="C30" i="5"/>
  <c r="C10" i="5"/>
  <c r="C38" i="5"/>
  <c r="C25" i="5"/>
  <c r="C26" i="5"/>
  <c r="C37" i="5"/>
  <c r="E2" i="5"/>
  <c r="D2" i="5"/>
  <c r="C2" i="5"/>
  <c r="F82" i="5" l="1"/>
  <c r="F70" i="5"/>
  <c r="F90" i="5"/>
  <c r="F26" i="5"/>
  <c r="F38" i="5"/>
  <c r="F65" i="5"/>
  <c r="F20" i="5"/>
  <c r="F52" i="5"/>
  <c r="F48" i="5"/>
  <c r="F11" i="5"/>
  <c r="F3" i="5"/>
  <c r="F28" i="5"/>
  <c r="F92" i="5"/>
  <c r="F21" i="5"/>
  <c r="F62" i="5"/>
  <c r="F46" i="5"/>
  <c r="F12" i="5"/>
  <c r="F30" i="5"/>
  <c r="F57" i="5"/>
  <c r="F50" i="5"/>
  <c r="F29" i="5"/>
  <c r="F13" i="5"/>
  <c r="F24" i="5"/>
  <c r="F94" i="5"/>
  <c r="F86" i="5"/>
  <c r="F78" i="5"/>
  <c r="F68" i="5"/>
  <c r="F61" i="5"/>
  <c r="F56" i="5"/>
  <c r="F84" i="5"/>
  <c r="F76" i="5"/>
  <c r="F71" i="5"/>
  <c r="F66" i="5"/>
  <c r="F59" i="5"/>
  <c r="F54" i="5"/>
  <c r="F31" i="5"/>
  <c r="F43" i="5"/>
  <c r="F15" i="5"/>
  <c r="F5" i="5"/>
  <c r="F27" i="5"/>
  <c r="F10" i="5"/>
  <c r="F2" i="5"/>
  <c r="F25" i="5"/>
  <c r="F8" i="5"/>
  <c r="F89" i="5"/>
  <c r="F81" i="5"/>
  <c r="F74" i="5"/>
  <c r="F69" i="5"/>
  <c r="F64" i="5"/>
  <c r="F58" i="5"/>
  <c r="F19" i="5"/>
  <c r="F47" i="5"/>
  <c r="F6" i="5"/>
  <c r="F96" i="5"/>
  <c r="F88" i="5"/>
  <c r="F80" i="5"/>
  <c r="F73" i="5"/>
  <c r="F22" i="5"/>
  <c r="F63" i="5"/>
  <c r="F32" i="5"/>
  <c r="F51" i="5"/>
  <c r="F41" i="5"/>
  <c r="F7" i="5"/>
  <c r="F4" i="5"/>
  <c r="F87" i="5"/>
  <c r="F14" i="5"/>
  <c r="F18" i="5"/>
  <c r="F45" i="5"/>
  <c r="F40" i="5"/>
  <c r="F9" i="5"/>
  <c r="F23" i="5"/>
  <c r="F79" i="5"/>
  <c r="F93" i="5"/>
  <c r="F85" i="5"/>
  <c r="F77" i="5"/>
  <c r="F72" i="5"/>
  <c r="F67" i="5"/>
  <c r="F60" i="5"/>
  <c r="F55" i="5"/>
  <c r="F49" i="5"/>
  <c r="F44" i="5"/>
  <c r="F17" i="5"/>
  <c r="F36" i="5"/>
  <c r="F95" i="5"/>
  <c r="F37" i="5"/>
  <c r="F34" i="5"/>
  <c r="F91" i="5"/>
  <c r="F83" i="5"/>
  <c r="F75" i="5"/>
  <c r="F16" i="5"/>
  <c r="F33" i="5"/>
  <c r="F53" i="5"/>
  <c r="F42" i="5"/>
  <c r="F39" i="5"/>
  <c r="F35" i="5"/>
  <c r="G86" i="5" l="1"/>
  <c r="G37" i="5"/>
  <c r="G63" i="5"/>
  <c r="G16" i="5"/>
  <c r="G60" i="5"/>
  <c r="G38" i="5"/>
  <c r="G9" i="5"/>
  <c r="G35" i="5"/>
  <c r="G89" i="5"/>
  <c r="G77" i="5"/>
  <c r="G46" i="5"/>
  <c r="G91" i="5"/>
  <c r="G67" i="5"/>
  <c r="G54" i="5"/>
  <c r="G79" i="5"/>
  <c r="G65" i="5"/>
  <c r="G95" i="5"/>
  <c r="G87" i="5"/>
  <c r="G75" i="5"/>
  <c r="G34" i="5"/>
  <c r="G44" i="5"/>
  <c r="G40" i="5"/>
  <c r="G53" i="5"/>
  <c r="G49" i="5"/>
  <c r="G45" i="5"/>
  <c r="G56" i="5"/>
  <c r="G94" i="5"/>
  <c r="G74" i="5"/>
  <c r="G2" i="5"/>
  <c r="G28" i="5"/>
  <c r="G59" i="5"/>
  <c r="G13" i="5"/>
  <c r="G32" i="5"/>
  <c r="G10" i="5"/>
  <c r="G81" i="5"/>
  <c r="G61" i="5"/>
  <c r="G72" i="5"/>
  <c r="G29" i="5"/>
  <c r="G26" i="5"/>
  <c r="G22" i="5"/>
  <c r="G11" i="5"/>
  <c r="G92" i="5"/>
  <c r="G39" i="5"/>
  <c r="G17" i="5"/>
  <c r="G50" i="5"/>
  <c r="G73" i="5"/>
  <c r="G68" i="5"/>
  <c r="G19" i="5"/>
  <c r="G8" i="5"/>
  <c r="G3" i="5"/>
  <c r="G70" i="5"/>
  <c r="G71" i="5"/>
  <c r="G4" i="5"/>
  <c r="G42" i="5"/>
  <c r="G57" i="5"/>
  <c r="G7" i="5"/>
  <c r="G80" i="5"/>
  <c r="G78" i="5"/>
  <c r="G58" i="5"/>
  <c r="G36" i="5"/>
  <c r="G15" i="5"/>
  <c r="G48" i="5"/>
  <c r="G52" i="5"/>
  <c r="G62" i="5"/>
  <c r="G90" i="5"/>
  <c r="G47" i="5"/>
  <c r="G24" i="5"/>
  <c r="G43" i="5"/>
  <c r="G83" i="5"/>
  <c r="G93" i="5"/>
  <c r="G30" i="5"/>
  <c r="G41" i="5"/>
  <c r="G88" i="5"/>
  <c r="G64" i="5"/>
  <c r="G25" i="5"/>
  <c r="G66" i="5"/>
  <c r="G27" i="5"/>
  <c r="G20" i="5"/>
  <c r="G55" i="5"/>
  <c r="G21" i="5"/>
  <c r="G69" i="5"/>
  <c r="G76" i="5"/>
  <c r="G31" i="5"/>
  <c r="G82" i="5"/>
  <c r="G33" i="5"/>
  <c r="G5" i="5"/>
  <c r="G12" i="5"/>
  <c r="G14" i="5"/>
  <c r="G96" i="5"/>
  <c r="G23" i="5"/>
  <c r="G51" i="5"/>
  <c r="G6" i="5"/>
  <c r="G18" i="5"/>
  <c r="G84" i="5"/>
  <c r="G85" i="5"/>
</calcChain>
</file>

<file path=xl/sharedStrings.xml><?xml version="1.0" encoding="utf-8"?>
<sst xmlns="http://schemas.openxmlformats.org/spreadsheetml/2006/main" count="3473" uniqueCount="1871">
  <si>
    <t>CWUR_Subject,QS_Subject,ARWU_Subject</t>
  </si>
  <si>
    <t>ACOUSTICS,Physics &amp; Astronomy,Physics</t>
  </si>
  <si>
    <t>AGRICULTURAL ECONOMICS &amp; POLICY,Agriculture &amp; Forestry,Agricultural Science</t>
  </si>
  <si>
    <t>AGRICULTURAL ENGINEERING,Engineering &amp; Technology,Agricultural Engineering</t>
  </si>
  <si>
    <t>AGRICULTURE DAIRY &amp; ANIMAL SCIENCE,Agriculture &amp; Forestry,Agricultural Science</t>
  </si>
  <si>
    <t>AGRICULTURE MULTIDISCIPLINARY,Agriculture &amp; Forestry,Agricultural Science</t>
  </si>
  <si>
    <t>AGRONOMY,Agriculture &amp; Forestry,Agricultural Science</t>
  </si>
  <si>
    <t>ALLERGY,Medicine,Clinical Medicine</t>
  </si>
  <si>
    <t>ANATOMY &amp; MORPHOLOGY,Anatomy &amp; Physiology,Human Biology</t>
  </si>
  <si>
    <t>ANDROLOGY,Medicine,Clinical Medicine</t>
  </si>
  <si>
    <t>ANESTHESIOLOGY,Medicine,Clinical Medicine</t>
  </si>
  <si>
    <t>ANTHROPOLOGY,Anthropology,Anthropology</t>
  </si>
  <si>
    <t>AREA STUDIES,Social Sciences,Area Studies</t>
  </si>
  <si>
    <t>ASTRONOMY &amp; ASTROPHYSICS,Physics &amp; Astronomy,Physics</t>
  </si>
  <si>
    <t>AUDIOLOGY &amp; SPEECH-LANGUAGE PATHOLOGY,Medicine,Clinical Medicine</t>
  </si>
  <si>
    <t>AUTOMATION &amp; CONTROL SYSTEMS,Engineering &amp; Technology,Automation Engg</t>
  </si>
  <si>
    <t>BEHAVIORAL SCIENCES,Psychology,Psychology</t>
  </si>
  <si>
    <t>BIOCHEMICAL RESEARCH METHODS,Biological Sciences,Biological Science</t>
  </si>
  <si>
    <t>BIOCHEMISTRY &amp; MOLECULAR BIOLOGY,Biological Sciences,Biological Science</t>
  </si>
  <si>
    <t>BIODIVERSITY CONSERVATION,Environmental Science,Ecology</t>
  </si>
  <si>
    <t>BIOLOGY,Biological Sciences,Biological Science</t>
  </si>
  <si>
    <t>BIOPHYSICS,Physics &amp; Astronomy,Physics</t>
  </si>
  <si>
    <t>BIOTECHNOLOGY &amp; APPLIED MICROBIOLOGY,Biological Sciences,Biotechnology</t>
  </si>
  <si>
    <t>BUSINESS,Business &amp; Management,Business Administration</t>
  </si>
  <si>
    <t>BUSINESS FINANCE,Accounting &amp; Finance,Finance</t>
  </si>
  <si>
    <t>CARDIAC &amp; CARDIOVASCULAR SYSTEMS,Medicine,Clinical Medicine</t>
  </si>
  <si>
    <t>CELL &amp; TISSUE ENGINEERING,Engineering &amp; Technology,Biomedical Engg</t>
  </si>
  <si>
    <t>CELL BIOLOGY,Biological Sciences,Biological Science</t>
  </si>
  <si>
    <t>CHEMISTRY ANALYTICAL,Chemistry,Chemistry</t>
  </si>
  <si>
    <t>CHEMISTRY APPLIED,Chemistry,Chemistry</t>
  </si>
  <si>
    <t>CHEMISTRY INORGANIC &amp; NUCLEAR,Chemistry,Chemistry</t>
  </si>
  <si>
    <t>CHEMISTRY MEDICINAL,Pharmacy,Pharmacy</t>
  </si>
  <si>
    <t>CHEMISTRY MULTIDISCIPLINARY,Chemistry,Chemistry</t>
  </si>
  <si>
    <t>CHEMISTRY ORGANIC,Chemistry,Chemistry</t>
  </si>
  <si>
    <t>CHEMISTRY PHYSICAL,Chemistry,Chemistry</t>
  </si>
  <si>
    <t>CLINICAL NEUROLOGY,Medicine,Clinical Medicine</t>
  </si>
  <si>
    <t>COMMUNICATION,Communication &amp; Media,Communication</t>
  </si>
  <si>
    <t>COMPUTER SCIENCE ARTIFICIAL INTELLIGENCE,Data Science &amp; AI,AI</t>
  </si>
  <si>
    <t>COMPUTER SCIENCE CYBERNETICS,Computer Science,Automation Engg</t>
  </si>
  <si>
    <t>COMPUTER SCIENCE HARDWARE &amp; ARCHITECTURE,Computer Science,Computer Engineering</t>
  </si>
  <si>
    <t>COMPUTER SCIENCE INFORMATION SYSTEMS,Computer Science,Computer Science</t>
  </si>
  <si>
    <t>COMPUTER SCIENCE INTERDISCIPLINARY APPLICATIONS,Computer Science,Computer Science</t>
  </si>
  <si>
    <t>COMPUTER SCIENCE SOFTWARE ENGINEERING,Computer Science,Computer Science</t>
  </si>
  <si>
    <t>COMPUTER SCIENCE THEORY &amp; METHODS,Computer Science,Computer Science</t>
  </si>
  <si>
    <t>CONSTRUCTION &amp; BUILDING TECHNOLOGY,Engineering &amp; Technology,Civil Engg</t>
  </si>
  <si>
    <t>CRIMINOLOGY &amp; PENOLOGY,Sociology,Sociology</t>
  </si>
  <si>
    <t>CRITICAL CARE MEDICINE,Medicine,Clinical Medicine</t>
  </si>
  <si>
    <t>CRYSTALLOGRAPHY,Chemistry,Chemistry</t>
  </si>
  <si>
    <t>CULTURAL STUDIES,Arts &amp; Humanities,Cultural Studies</t>
  </si>
  <si>
    <t>DEMOGRAPHY,Social Sciences,Demography</t>
  </si>
  <si>
    <t>DENTISTRY ORAL SURGERY &amp; MEDICINE,Dentistry,Dentist</t>
  </si>
  <si>
    <t>DERMATOLOGY,Medicine,Clinical Medicine</t>
  </si>
  <si>
    <t>DEVELOPMENTAL BIOLOGY,Biological Sciences,Biological Science</t>
  </si>
  <si>
    <t>ECOLOGY,Environmental Science,Ecology</t>
  </si>
  <si>
    <t>ECONOMICS,Economics &amp; Econometrics,Economics</t>
  </si>
  <si>
    <t>EDUCATION &amp; EDUCATIONAL RESEARCH,Education,Education</t>
  </si>
  <si>
    <t>EDUCATION SCIENTIFIC DISCIPLINES,Education,Education</t>
  </si>
  <si>
    <t>EDUCATION SPECIAL,Education,Education</t>
  </si>
  <si>
    <t>ELECTROCHEMISTRY,Chemistry,Chemistry</t>
  </si>
  <si>
    <t>EMERGENCY MEDICINE,Medicine,Clinical Medicine</t>
  </si>
  <si>
    <t>ENDOCRINOLOGY &amp; METABOLISM,Medicine,Clinical Medicine</t>
  </si>
  <si>
    <t>ENERGY &amp; FUELS,Engineering &amp; Technology,Energy Science</t>
  </si>
  <si>
    <t>ENGINEERING AEROSPACE,Engineering &amp; Technology,Aerospace Engg</t>
  </si>
  <si>
    <t>ENGINEERING BIOMEDICAL,Engineering &amp; Technology,Biomedical Engg</t>
  </si>
  <si>
    <t>ENGINEERING CHEMICAL,Engineering &amp; Technology,Chemical Engg</t>
  </si>
  <si>
    <t>ENGINEERING CIVIL,Engineering &amp; Technology,Civil Engg</t>
  </si>
  <si>
    <t>ENGINEERING ELECTRICAL &amp; ELECTRONIC,Engineering &amp; Technology,Electrical &amp; Electronics Engg</t>
  </si>
  <si>
    <t>ENGINEERING ENVIRONMENTAL,Engineering &amp; Technology,Environmental Engg</t>
  </si>
  <si>
    <t>ENGINEERING GEOLOGICAL,Engineering &amp; Technology,Geological Engg</t>
  </si>
  <si>
    <t>ENGINEERING INDUSTRIAL,Engineering &amp; Technology,Industrial Engg</t>
  </si>
  <si>
    <t>ENGINEERING MANUFACTURING,Engineering &amp; Technology,Manufacturing Engg</t>
  </si>
  <si>
    <t>ENGINEERING MARINE,Engineering &amp; Technology,Marine Engg</t>
  </si>
  <si>
    <t>ENGINEERING MECHANICAL,Engineering &amp; Technology,Mechanical Engg</t>
  </si>
  <si>
    <t>ENGINEERING MULTIDISCIPLINARY,Engineering &amp; Technology,Engineering</t>
  </si>
  <si>
    <t>ENGINEERING OCEAN,Engineering &amp; Technology,Marine Engg</t>
  </si>
  <si>
    <t>ENGINEERING PETROLEUM,Engineering &amp; Technology,Petroleum Engg</t>
  </si>
  <si>
    <t>ENTOMOLOGY,Biological Sciences,Biological Science</t>
  </si>
  <si>
    <t>ENVIRONMENTAL SCIENCES,Environmental Science,Environmental Science</t>
  </si>
  <si>
    <t>ENVIRONMENTAL STUDIES,Environmental Science,Environmental Science</t>
  </si>
  <si>
    <t>ERGONOMICS,Engineering &amp; Technology,Industrial Engg</t>
  </si>
  <si>
    <t>ETHICS,Philosophy,Philosophy</t>
  </si>
  <si>
    <t>ETHNIC STUDIES,Social Sciences,Sociology</t>
  </si>
  <si>
    <t>EVOLUTIONARY BIOLOGY,Biological Sciences,Biological Science</t>
  </si>
  <si>
    <t>FAMILY STUDIES,Social Sciences,Sociology</t>
  </si>
  <si>
    <t>FILM RADIO &amp; TELEVISION,Arts &amp; Humanities,Arts</t>
  </si>
  <si>
    <t>FISHERIES,Agriculture &amp; Forestry,Agricultural Science</t>
  </si>
  <si>
    <t>FOOD SCIENCE &amp; TECHNOLOGY,Agriculture &amp; Forestry,Food Science</t>
  </si>
  <si>
    <t>FORESTRY,Agriculture &amp; Forestry,Agricultural Science</t>
  </si>
  <si>
    <t>GASTROENTEROLOGY &amp; HEPATOLOGY,Medicine,Clinical Medicine</t>
  </si>
  <si>
    <t>GENETICS &amp; HEREDITY,Biological Sciences,Biological Science</t>
  </si>
  <si>
    <t>GEOCHEMISTRY &amp; GEOPHYSICS,Earth Science,Earth Science</t>
  </si>
  <si>
    <t>GEOGRAPHY,Geography,Geography</t>
  </si>
  <si>
    <t>GEOGRAPHY PHYSICAL,Geography,Geography</t>
  </si>
  <si>
    <t>GEOLOGY,Geology,Earth Science</t>
  </si>
  <si>
    <t>GEOSCIENCES MULTIDISCIPLINARY,Earth Science,Earth Science</t>
  </si>
  <si>
    <t>GERIATRICS &amp; GERONTOLOGY,Medicine,Clinical Medicine</t>
  </si>
  <si>
    <t>HEALTH CARE SCIENCES &amp; SERVICES,Medicine,Public Health</t>
  </si>
  <si>
    <t>HEALTH POLICY &amp; SERVICES,Medicine,Public Health</t>
  </si>
  <si>
    <t>HEMATOLOGY,Medicine,Clinical Medicine</t>
  </si>
  <si>
    <t>HISTORY,History,History</t>
  </si>
  <si>
    <t>HISTORY &amp; PHILOSOPHY OF SCIENCE,History,History</t>
  </si>
  <si>
    <t>HORTICULTURE,Agriculture &amp; Forestry,Agricultural Science</t>
  </si>
  <si>
    <t>HOSPITALITY LEISURE SPORT &amp; TOURISM,Hospitality &amp; Leisure,Hospitality</t>
  </si>
  <si>
    <t>HUMANITIES MULTIDISCIPLINARY,Arts &amp; Humanities,Humanities</t>
  </si>
  <si>
    <t>IMMUNOLOGY,Biological Sciences,Biological Science</t>
  </si>
  <si>
    <t>INDUSTRIAL RELATIONS &amp; LABOR,Social Sciences,Labor Studies</t>
  </si>
  <si>
    <t>INFECTIOUS DISEASES,Medicine,Clinical Medicine</t>
  </si>
  <si>
    <t>INFORMATION SCIENCE &amp; LIBRARY SCIENCE,Library &amp; Information Science,Library Science</t>
  </si>
  <si>
    <t>INSTRUMENTS &amp; INSTRUMENTATION,Engineering &amp; Technology,Instrumentation Engg</t>
  </si>
  <si>
    <t>INTEGRATIVE &amp; COMPLEMENTARY MEDICINE,Medicine,Clinical Medicine</t>
  </si>
  <si>
    <t>INTERNATIONAL RELATIONS,Politics &amp; International Studies,Political Science</t>
  </si>
  <si>
    <t>LANGUAGE &amp; LINGUISTICS,Linguistics,Linguistics</t>
  </si>
  <si>
    <t>LAW,Law,Law</t>
  </si>
  <si>
    <t>LIMNOLOGY,Environmental Science,Ecology</t>
  </si>
  <si>
    <t>LITERARY THEORY &amp; CRITICISM,Literature,Literature</t>
  </si>
  <si>
    <t>LITERATURE,English Literature,Literature</t>
  </si>
  <si>
    <t>LOGIC,Philosophy,Philosophy</t>
  </si>
  <si>
    <t>MANAGEMENT,Business &amp; Management,Management</t>
  </si>
  <si>
    <t>MARINE &amp; FRESHWATER BIOLOGY,Biological Sciences,Biological Science</t>
  </si>
  <si>
    <t>MATERIALS SCIENCE MULTIDISCIPLINARY,Material Science,Materials Science</t>
  </si>
  <si>
    <t>MATHEMATICS,Mathematics,Maths</t>
  </si>
  <si>
    <t>MECHANICS,Physics &amp; Astronomy,Physics</t>
  </si>
  <si>
    <t>MEDICINE GENERAL &amp; INTERNAL,Medicine,Clinical Medicine</t>
  </si>
  <si>
    <t>METALLURGY &amp; METALLURGICAL ENGINEERING,Engineering &amp; Technology,Materials Science</t>
  </si>
  <si>
    <t>METEOROLOGY &amp; ATMOSPHERIC SCIENCES,Earth Science,Atmospheric Science</t>
  </si>
  <si>
    <t>MICROBIOLOGY,Biological Sciences,Biological Science</t>
  </si>
  <si>
    <t>MINERALOGY,Earth Science,Earth Science</t>
  </si>
  <si>
    <t>MINING &amp; MINERAL PROCESSING,Engineering &amp; Technology,Mining Engg</t>
  </si>
  <si>
    <t>MULTIDISCIPLINARY SCIENCES,General,General</t>
  </si>
  <si>
    <t>MUSIC,Music,Arts</t>
  </si>
  <si>
    <t>NANOSCIENCE &amp; NANOTECHNOLOGY,Material Science,Nano Science</t>
  </si>
  <si>
    <t>NEUROSCIENCES,Medicine,Clinical Medicine</t>
  </si>
  <si>
    <t>NURSING,Nursing,Nursing</t>
  </si>
  <si>
    <t>NUTRITION &amp; DIETETICS,Medicine,Public Health</t>
  </si>
  <si>
    <t>OCEANOGRAPHY,Earth Science,Oceanography</t>
  </si>
  <si>
    <t>ONCOLOGY,Medicine,Clinical Medicine</t>
  </si>
  <si>
    <t>OPERATIONS RESEARCH &amp; MANAGEMENT SCIENCE,Statistics &amp; OR,Statistics</t>
  </si>
  <si>
    <t>OPHTHALMOLOGY,Medicine,Clinical Medicine</t>
  </si>
  <si>
    <t>OPTICS,Physics &amp; Astronomy,Physics</t>
  </si>
  <si>
    <t>ORTHOPEDICS,Medicine,Clinical Medicine</t>
  </si>
  <si>
    <t>PATHOLOGY,Medicine,Clinical Medicine</t>
  </si>
  <si>
    <t>PEDIATRICS,Medicine,Clinical Medicine</t>
  </si>
  <si>
    <t>PHARMACOLOGY &amp; PHARMACY,Pharmacy,Pharmacy</t>
  </si>
  <si>
    <t>PHILOSOPHY,Philosophy,Philosophy</t>
  </si>
  <si>
    <t>PHYSICS MULTIDISCIPLINARY,Physics &amp; Astronomy,Physics</t>
  </si>
  <si>
    <t>PLANT SCIENCES,Biological Sciences,Biological Science</t>
  </si>
  <si>
    <t>POLITICAL SCIENCE,Politics &amp; International Studies,Political Science</t>
  </si>
  <si>
    <t>PSYCHIATRY,Medicine,Clinical Medicine</t>
  </si>
  <si>
    <t>PSYCHOLOGY,Psychology,Psychology</t>
  </si>
  <si>
    <t>PUBLIC ADMINISTRATION,Public Administration,Public Administration</t>
  </si>
  <si>
    <t>SOCIAL SCIENCES INTERDISCIPLINARY,Social Sciences,Social Sciences</t>
  </si>
  <si>
    <t>SOCIOLOGY,Sociology,Sociology</t>
  </si>
  <si>
    <t>STATISTICS &amp; PROBABILITY,Statistics &amp; OR,Statistics</t>
  </si>
  <si>
    <t>SURGERY,Medicine,Clinical Medicine</t>
  </si>
  <si>
    <t>TELECOMMUNICATIONS,Engineering &amp; Technology,Telecommunication Engg</t>
  </si>
  <si>
    <t>TRANSPORTATION,Engineering &amp; Technology,Transportation Science</t>
  </si>
  <si>
    <t>URBAN STUDIES,Social Sciences,Urban Studies</t>
  </si>
  <si>
    <t>UROLOGY &amp; NEPHROLOGY,Medicine,Clinical Medicine</t>
  </si>
  <si>
    <t>VETERINARY SCIENCES,Vet Science,Vet</t>
  </si>
  <si>
    <t>VIROLOGY,Biological Sciences,Biological Science</t>
  </si>
  <si>
    <t>WATER RESOURCES,Engineering &amp; Technology,Water Resources</t>
  </si>
  <si>
    <t>ZOOLOGY,Biological Sciences,Biological Science</t>
  </si>
  <si>
    <t>IMAGING SCIENCE &amp; PHOTOGRAPHIC TECHNOLOGY,Engineering &amp; Technology,Imaging Science</t>
  </si>
  <si>
    <t>MATERIALS SCIENCE BIOMATERIALS,Material Science,Materials Science</t>
  </si>
  <si>
    <t>MATERIALS SCIENCE CERAMICS,Material Science,Materials Science</t>
  </si>
  <si>
    <t>MATERIALS SCIENCE CHARACTERIZATION &amp; TESTING,Material Science,Materials Science</t>
  </si>
  <si>
    <t>MATERIALS SCIENCE COATINGS &amp; FILMS,Material Science,Materials Science</t>
  </si>
  <si>
    <t>MATERIALS SCIENCE COMPOSITES,Material Science,Materials Science</t>
  </si>
  <si>
    <t>MATERIALS SCIENCE PAPER &amp; WOOD,Material Science,Materials Science</t>
  </si>
  <si>
    <t>MATERIALS SCIENCE TEXTILES,Material Science,Materials Science</t>
  </si>
  <si>
    <t>MATHEMATICAL &amp; COMPUTATIONAL BIOLOGY,Biological Sciences,Biological Science</t>
  </si>
  <si>
    <t>MEDICAL ETHICS,Medicine,Public Health</t>
  </si>
  <si>
    <t>MEDICAL INFORMATICS,Medicine,Medical Technology</t>
  </si>
  <si>
    <t>MEDICAL LABORATORY TECHNOLOGY,Medicine,Medical Technology</t>
  </si>
  <si>
    <t>MEDICINE LEGAL,Law,Law</t>
  </si>
  <si>
    <t>MICROSCOPY,Physics &amp; Astronomy,Physics</t>
  </si>
  <si>
    <t>MYCOLOGY,Biological Sciences,Biological Science</t>
  </si>
  <si>
    <t>NEUROIMAGING,Medicine,Clinical Medicine</t>
  </si>
  <si>
    <t>NUCLEAR SCIENCE &amp; TECHNOLOGY,Physics &amp; Astronomy,Physics</t>
  </si>
  <si>
    <t>OBSTETRICS &amp; GYNECOLOGY,Medicine,Clinical Medicine</t>
  </si>
  <si>
    <t>ORNITHOLOGY,Biological Sciences,Biological Science</t>
  </si>
  <si>
    <t>OTORHINOLARYNGOLOGY,Medicine,Clinical Medicine</t>
  </si>
  <si>
    <t>PALEONTOLOGY,Earth Science,Earth Science</t>
  </si>
  <si>
    <t>PARASITOLOGY,Biological Sciences,Biological Science</t>
  </si>
  <si>
    <t>PERIPHERAL VASCULAR DISEASE,Medicine,Clinical Medicine</t>
  </si>
  <si>
    <t>PHYSICS APPLIED,Physics &amp; Astronomy,Physics</t>
  </si>
  <si>
    <t>PHYSICS ATOMIC MOLECULAR &amp; CHEMICAL,Physics &amp; Astronomy,Physics</t>
  </si>
  <si>
    <t>PHYSICS CONDENSED MATTER,Physics &amp; Astronomy,Physics</t>
  </si>
  <si>
    <t>PHYSICS FLUIDS &amp; PLASMAS,Physics &amp; Astronomy,Physics</t>
  </si>
  <si>
    <t>PHYSICS MATHEMATICAL,Physics &amp; Astronomy,Physics</t>
  </si>
  <si>
    <t>PHYSICS NUCLEAR,Physics &amp; Astronomy,Physics</t>
  </si>
  <si>
    <t>PHYSICS PARTICLES &amp; FIELDS,Physics &amp; Astronomy,Physics</t>
  </si>
  <si>
    <t>PHYSIOLOGY,Medicine,Human Biology</t>
  </si>
  <si>
    <t>POLYMER SCIENCE,Material Science,Materials Science</t>
  </si>
  <si>
    <t>PRIMARY HEALTH CARE,Medicine,Public Health</t>
  </si>
  <si>
    <t>PUBLIC ENVIRONMENTAL &amp; OCCUPATIONAL HEALTH,Medicine,Public Health</t>
  </si>
  <si>
    <t>RADIOLOGY NUCLEAR MEDICINE &amp; MEDICAL IMAGING,Medicine,Clinical Medicine</t>
  </si>
  <si>
    <t>REHABILITATION,Medicine,Clinical Medicine</t>
  </si>
  <si>
    <t>RELIGION,Theology,Theology</t>
  </si>
  <si>
    <t>REMOTE SENSING,Earth Science,Remote Sensing</t>
  </si>
  <si>
    <t>REPRODUCTIVE BIOLOGY,Biological Sciences,Biological Science</t>
  </si>
  <si>
    <t>RESPIRATORY SYSTEM,Medicine,Clinical Medicine</t>
  </si>
  <si>
    <t>RHEUMATOLOGY,Medicine,Clinical Medicine</t>
  </si>
  <si>
    <t>ROBOTICS,Engineering &amp; Technology,Robotics</t>
  </si>
  <si>
    <t>SOCIAL ISSUES,Social Sciences,Social Sciences</t>
  </si>
  <si>
    <t>SOCIAL SCIENCES BIOMEDICAL,Social Sciences,Social Sciences</t>
  </si>
  <si>
    <t>SOCIAL WORK,Social Sciences,Social Work</t>
  </si>
  <si>
    <t>SOIL SCIENCE,Agriculture &amp; Forestry,Agricultural Science</t>
  </si>
  <si>
    <t>SPORT SCIENCES,Sports Related Subjects,Sports</t>
  </si>
  <si>
    <t>SUBSTANCE ABUSE,Medicine,Public Health</t>
  </si>
  <si>
    <t>THEATER,Performing Arts,Arts</t>
  </si>
  <si>
    <t>THERMODYNAMICS,Physics &amp; Astronomy,Physics</t>
  </si>
  <si>
    <t>TOXICOLOGY,Medicine,Clinical Medicine</t>
  </si>
  <si>
    <t>TRANSPLANTATION,Medicine,Clinical Medicine</t>
  </si>
  <si>
    <t>TROPICAL MEDICINE,Medicine,Clinical Medicine</t>
  </si>
  <si>
    <t>WOMENS STUDIES,Social Sciences,Social Sciences</t>
  </si>
  <si>
    <t>University of Oxford</t>
  </si>
  <si>
    <t>Harvard University</t>
  </si>
  <si>
    <t>University of Cambridge</t>
  </si>
  <si>
    <t>Stanford University</t>
  </si>
  <si>
    <t>Yale University</t>
  </si>
  <si>
    <t>Columbia University</t>
  </si>
  <si>
    <t>University of California, Berkeley (UCB)</t>
  </si>
  <si>
    <t>UCL</t>
  </si>
  <si>
    <t>The University of Edinburgh</t>
  </si>
  <si>
    <t>New York University (NYU)</t>
  </si>
  <si>
    <t>University of California, Los Angeles (UCLA)</t>
  </si>
  <si>
    <t>Princeton University</t>
  </si>
  <si>
    <t>Massachusetts Institute of Technology (MIT)</t>
  </si>
  <si>
    <t>University of Toronto</t>
  </si>
  <si>
    <t>University of Chicago</t>
  </si>
  <si>
    <t>The University of Melbourne</t>
  </si>
  <si>
    <t>National University of Singapore (NUS)</t>
  </si>
  <si>
    <t>Université Paris 1 Panthéon-Sorbonne</t>
  </si>
  <si>
    <t>The University of Hong Kong</t>
  </si>
  <si>
    <t>Peking University</t>
  </si>
  <si>
    <t>King's College London</t>
  </si>
  <si>
    <t>University of British Columbia</t>
  </si>
  <si>
    <t>Humboldt-Universität zu Berlin</t>
  </si>
  <si>
    <t>Universidad de Buenos Aires (UBA)</t>
  </si>
  <si>
    <t>Pontificia Universidad Católica de Chile (UC)</t>
  </si>
  <si>
    <t>Tsinghua University</t>
  </si>
  <si>
    <t>The University of Tokyo</t>
  </si>
  <si>
    <t>The University of Sydney</t>
  </si>
  <si>
    <t>Freie Universitaet Berlin</t>
  </si>
  <si>
    <t>Durham University</t>
  </si>
  <si>
    <t>Australian National University (ANU)</t>
  </si>
  <si>
    <t>University of Amsterdam</t>
  </si>
  <si>
    <t>University of Pennsylvania</t>
  </si>
  <si>
    <t>Ludwig-Maximilians-Universität München</t>
  </si>
  <si>
    <t>McGill University</t>
  </si>
  <si>
    <t>Cornell University</t>
  </si>
  <si>
    <t>The University of Manchester</t>
  </si>
  <si>
    <t>Nanyang Technological University, Singapore (NTU Singapore)</t>
  </si>
  <si>
    <t>Leiden University</t>
  </si>
  <si>
    <t>Sapienza University of Rome</t>
  </si>
  <si>
    <t>University of Michigan-Ann Arbor</t>
  </si>
  <si>
    <t>The London School of Economics and Political Science (LSE)</t>
  </si>
  <si>
    <t>University of St Andrews</t>
  </si>
  <si>
    <t>The University of Auckland</t>
  </si>
  <si>
    <t>KU Leuven</t>
  </si>
  <si>
    <t>Alma Mater Studiorum - Università di Bologna</t>
  </si>
  <si>
    <t>University of York</t>
  </si>
  <si>
    <t>Fudan University</t>
  </si>
  <si>
    <t>Trinity College Dublin, The University of Dublin</t>
  </si>
  <si>
    <t>University of Leeds</t>
  </si>
  <si>
    <t>University of Vienna</t>
  </si>
  <si>
    <t>Monash University</t>
  </si>
  <si>
    <t>University of Texas at Austin</t>
  </si>
  <si>
    <t>Kyoto University</t>
  </si>
  <si>
    <t>Brown University</t>
  </si>
  <si>
    <t>Seoul National University</t>
  </si>
  <si>
    <t>The University of Warwick</t>
  </si>
  <si>
    <t>Waseda University</t>
  </si>
  <si>
    <t>Delft University of Technology</t>
  </si>
  <si>
    <t>Duke University</t>
  </si>
  <si>
    <t>National Taiwan University (NTU)</t>
  </si>
  <si>
    <t>Politecnico di Milano</t>
  </si>
  <si>
    <t>University of Glasgow</t>
  </si>
  <si>
    <t>Universidade de São Paulo</t>
  </si>
  <si>
    <t>RMIT University</t>
  </si>
  <si>
    <t>The Hong Kong Polytechnic University</t>
  </si>
  <si>
    <t>University of Bristol</t>
  </si>
  <si>
    <t>The University of Sheffield</t>
  </si>
  <si>
    <t>Yonsei University</t>
  </si>
  <si>
    <t>University of Birmingham</t>
  </si>
  <si>
    <t>University of Exeter</t>
  </si>
  <si>
    <t>Universidad de Chile</t>
  </si>
  <si>
    <t>The University of Queensland</t>
  </si>
  <si>
    <t>Universidad de los Andes</t>
  </si>
  <si>
    <t>University College Dublin</t>
  </si>
  <si>
    <t>University of Southern California</t>
  </si>
  <si>
    <t>University of Copenhagen</t>
  </si>
  <si>
    <t>City University of Hong Kong (CityUHK)</t>
  </si>
  <si>
    <t>Lancaster University</t>
  </si>
  <si>
    <t>Carnegie Mellon University</t>
  </si>
  <si>
    <t>SOAS University of London</t>
  </si>
  <si>
    <t>Eberhard Karls Universität Tübingen</t>
  </si>
  <si>
    <t>Tongji University</t>
  </si>
  <si>
    <t>The New School, New York City and Paris</t>
  </si>
  <si>
    <t>Universiti Malaya (UM)</t>
  </si>
  <si>
    <t>Pontificia Universidad Javeriana</t>
  </si>
  <si>
    <t>Korea University</t>
  </si>
  <si>
    <t>Boston University</t>
  </si>
  <si>
    <t>Queen Mary University of London</t>
  </si>
  <si>
    <t>Universidad Nacional de Colombia</t>
  </si>
  <si>
    <t>California Institute of Technology (Caltech)</t>
  </si>
  <si>
    <t>ETH Zurich</t>
  </si>
  <si>
    <t>Imperial College London</t>
  </si>
  <si>
    <t>Université Paris-Saclay</t>
  </si>
  <si>
    <t>University of California, Santa Barbara (UCSB)</t>
  </si>
  <si>
    <t>Technical University of Munich</t>
  </si>
  <si>
    <t>Shanghai Jiao Tong University</t>
  </si>
  <si>
    <t>University of California, San Diego (UCSD)</t>
  </si>
  <si>
    <t>University of Maryland, College Park</t>
  </si>
  <si>
    <t>University of Science and Technology of China</t>
  </si>
  <si>
    <t>Institut Polytechnique de Paris</t>
  </si>
  <si>
    <t>Tohoku University</t>
  </si>
  <si>
    <t>University of Washington</t>
  </si>
  <si>
    <t>Pohang University of Science And Technology (POSTECH)</t>
  </si>
  <si>
    <t>Georgia Institute of Technology</t>
  </si>
  <si>
    <t>The University of Osaka</t>
  </si>
  <si>
    <t>Lomonosov Moscow State University</t>
  </si>
  <si>
    <t>University of Colorado Boulder</t>
  </si>
  <si>
    <t>Nagoya University</t>
  </si>
  <si>
    <t>Pennsylvania State University</t>
  </si>
  <si>
    <t>Johns Hopkins University</t>
  </si>
  <si>
    <t>Nanjing University</t>
  </si>
  <si>
    <t>Universidad Autónoma de Madrid</t>
  </si>
  <si>
    <t>Purdue University</t>
  </si>
  <si>
    <t>KTH Royal Institute of Technology</t>
  </si>
  <si>
    <t>Zhejiang University</t>
  </si>
  <si>
    <t>Northwestern University</t>
  </si>
  <si>
    <t>Universität Hamburg</t>
  </si>
  <si>
    <t>University of Waterloo</t>
  </si>
  <si>
    <t>The Hong Kong University of Science and Technology</t>
  </si>
  <si>
    <t>University of Geneva</t>
  </si>
  <si>
    <t>University of Chinese Academy of Sciences (UCAS)</t>
  </si>
  <si>
    <t>Indian Institute of Science (IISc) Bangalore</t>
  </si>
  <si>
    <t>Michigan State University</t>
  </si>
  <si>
    <t>Rice University</t>
  </si>
  <si>
    <t>University of Wisconsin-Madison</t>
  </si>
  <si>
    <t>France</t>
  </si>
  <si>
    <t>Japan</t>
  </si>
  <si>
    <t>United Kingdom</t>
  </si>
  <si>
    <t>Italy</t>
  </si>
  <si>
    <t>Switzerland</t>
  </si>
  <si>
    <t>Canada</t>
  </si>
  <si>
    <t>Australia</t>
  </si>
  <si>
    <t>Germany</t>
  </si>
  <si>
    <t>Sweden</t>
  </si>
  <si>
    <t>Denmark</t>
  </si>
  <si>
    <t>Sciences Po</t>
  </si>
  <si>
    <t>Georgetown University</t>
  </si>
  <si>
    <t>George Washington University</t>
  </si>
  <si>
    <t>Luiss University</t>
  </si>
  <si>
    <t>European University Institute</t>
  </si>
  <si>
    <t>American University</t>
  </si>
  <si>
    <t>Central European University</t>
  </si>
  <si>
    <t>University of Zurich</t>
  </si>
  <si>
    <t>Hertie School</t>
  </si>
  <si>
    <t>Universite libre de Bruxelles</t>
  </si>
  <si>
    <t>Aarhus University</t>
  </si>
  <si>
    <t>Bocconi University</t>
  </si>
  <si>
    <t>University of Oslo</t>
  </si>
  <si>
    <t>Essex, University of</t>
  </si>
  <si>
    <t>Tufts University</t>
  </si>
  <si>
    <t>Uppsala University</t>
  </si>
  <si>
    <t>University of Notre Dame</t>
  </si>
  <si>
    <t>University of Sussex</t>
  </si>
  <si>
    <t>O.P. Jindal Global University (JGU)</t>
  </si>
  <si>
    <t>The Graduate Institute of International and Development Studies - Geneva</t>
  </si>
  <si>
    <t>Jawaharlal Nehru University</t>
  </si>
  <si>
    <t>Washington University in St. Louis</t>
  </si>
  <si>
    <t>University of North Carolina at Chapel Hill</t>
  </si>
  <si>
    <t>The Ohio State University</t>
  </si>
  <si>
    <t>Universität Mannheim</t>
  </si>
  <si>
    <t>Universidad Torcuato Di Tella</t>
  </si>
  <si>
    <t>University of Ottawa</t>
  </si>
  <si>
    <t xml:space="preserve">New York University </t>
  </si>
  <si>
    <t>United Arab Emirates</t>
  </si>
  <si>
    <t>University</t>
  </si>
  <si>
    <t>QS Rank</t>
  </si>
  <si>
    <t>ARWU Rank</t>
  </si>
  <si>
    <t>CWUR Rank</t>
  </si>
  <si>
    <t>Total Score</t>
  </si>
  <si>
    <t>META RANK</t>
  </si>
  <si>
    <t>Universidad Nacional Autónoma de México (UNAM)</t>
  </si>
  <si>
    <t>New York University</t>
  </si>
  <si>
    <t>University of California, Berkeley</t>
  </si>
  <si>
    <t>University of California, San Diego</t>
  </si>
  <si>
    <t>The Australian National University</t>
  </si>
  <si>
    <t>University of Konstanz</t>
  </si>
  <si>
    <t>University of California, Los Angeles</t>
  </si>
  <si>
    <t>University of California, Irvine</t>
  </si>
  <si>
    <t>University of Michigan</t>
  </si>
  <si>
    <t>London School of Economics</t>
  </si>
  <si>
    <t>University of Essex</t>
  </si>
  <si>
    <t/>
  </si>
  <si>
    <t>University of California</t>
  </si>
  <si>
    <t>Ohio State University</t>
  </si>
  <si>
    <t xml:space="preserve">University of North Carolina </t>
  </si>
  <si>
    <t>United States of America</t>
  </si>
  <si>
    <t>Singapore</t>
  </si>
  <si>
    <t>Netherlands</t>
  </si>
  <si>
    <t>China (Mainland)</t>
  </si>
  <si>
    <t>Republic of Korea</t>
  </si>
  <si>
    <t>Chile</t>
  </si>
  <si>
    <t>Austria</t>
  </si>
  <si>
    <t>Hong Kong SAR, China</t>
  </si>
  <si>
    <t>Belgium</t>
  </si>
  <si>
    <t>Mexico</t>
  </si>
  <si>
    <t>Colombia</t>
  </si>
  <si>
    <t>Brazil</t>
  </si>
  <si>
    <t>Norway</t>
  </si>
  <si>
    <t>Ireland</t>
  </si>
  <si>
    <t>India</t>
  </si>
  <si>
    <t>Taiwan</t>
  </si>
  <si>
    <t>Argentina</t>
  </si>
  <si>
    <t>Utrecht University</t>
  </si>
  <si>
    <t>Vrije Universiteit Brussel (VUB)</t>
  </si>
  <si>
    <t>Russian Federation</t>
  </si>
  <si>
    <t>Lund University</t>
  </si>
  <si>
    <t>University of Gothenburg</t>
  </si>
  <si>
    <t>University of Milan</t>
  </si>
  <si>
    <t>Spain</t>
  </si>
  <si>
    <t>Texas A&amp;M University</t>
  </si>
  <si>
    <t>University of Virginia</t>
  </si>
  <si>
    <t>Keio University</t>
  </si>
  <si>
    <t>National Chengchi University</t>
  </si>
  <si>
    <t>Dartmouth College</t>
  </si>
  <si>
    <t>Stockholm University</t>
  </si>
  <si>
    <t>Syracuse University</t>
  </si>
  <si>
    <t>Victoria University of Wellington</t>
  </si>
  <si>
    <t>New Zealand</t>
  </si>
  <si>
    <t>Beijing Normal University</t>
  </si>
  <si>
    <t>Vrije Universiteit Amsterdam</t>
  </si>
  <si>
    <t>Queen's University Belfast</t>
  </si>
  <si>
    <t>Maastricht University</t>
  </si>
  <si>
    <t>The University of Georgia</t>
  </si>
  <si>
    <t>Universität Konstanz</t>
  </si>
  <si>
    <t>Florida International University</t>
  </si>
  <si>
    <t>University of Helsinki</t>
  </si>
  <si>
    <t>Finland</t>
  </si>
  <si>
    <t>Ghent University</t>
  </si>
  <si>
    <t>University of Pittsburgh</t>
  </si>
  <si>
    <t>Erasmus University Rotterdam</t>
  </si>
  <si>
    <t>University of Bergen</t>
  </si>
  <si>
    <t>York University</t>
  </si>
  <si>
    <t>University of Bath</t>
  </si>
  <si>
    <t>Arizona State University</t>
  </si>
  <si>
    <t>Universidad del Rosario</t>
  </si>
  <si>
    <t>Universidad Diego Portales</t>
  </si>
  <si>
    <t>University of Delhi</t>
  </si>
  <si>
    <t>Carleton University</t>
  </si>
  <si>
    <t>Indonesia</t>
  </si>
  <si>
    <t>University of Rochester</t>
  </si>
  <si>
    <t>University of Salamanca</t>
  </si>
  <si>
    <t>Türkiye</t>
  </si>
  <si>
    <t>Newcastle University</t>
  </si>
  <si>
    <t>Israel</t>
  </si>
  <si>
    <t>Peru</t>
  </si>
  <si>
    <t>University of Groningen</t>
  </si>
  <si>
    <t>American University of Beirut (AUB)</t>
  </si>
  <si>
    <t>Lebanon</t>
  </si>
  <si>
    <t>University of Warsaw</t>
  </si>
  <si>
    <t>Poland</t>
  </si>
  <si>
    <t>Middle East Technical University</t>
  </si>
  <si>
    <t>University of Strathclyde</t>
  </si>
  <si>
    <t>HUFS - Hankuk (Korea) University of Foreign Studies</t>
  </si>
  <si>
    <t>Adelaide University</t>
  </si>
  <si>
    <t>Thammasat University</t>
  </si>
  <si>
    <t>Thailand</t>
  </si>
  <si>
    <t>Cardiff University</t>
  </si>
  <si>
    <t>University of Lausanne</t>
  </si>
  <si>
    <t>Malaysia</t>
  </si>
  <si>
    <t>Chulalongkorn University</t>
  </si>
  <si>
    <t>Florida State University</t>
  </si>
  <si>
    <t>Charles University</t>
  </si>
  <si>
    <t>Czechia</t>
  </si>
  <si>
    <t>University of Southampton</t>
  </si>
  <si>
    <t>Ritsumeikan University</t>
  </si>
  <si>
    <t>University of Minnesota (System)</t>
  </si>
  <si>
    <t>Singapore Management University</t>
  </si>
  <si>
    <t>The American University in Cairo</t>
  </si>
  <si>
    <t>Egypt</t>
  </si>
  <si>
    <t>Bilkent University</t>
  </si>
  <si>
    <t>Cairo University</t>
  </si>
  <si>
    <t>Université Grenoble Alpes</t>
  </si>
  <si>
    <t>University of the Philippines</t>
  </si>
  <si>
    <t>Philippines</t>
  </si>
  <si>
    <t>Dublin City University</t>
  </si>
  <si>
    <t>University of Florence</t>
  </si>
  <si>
    <t>Emory University</t>
  </si>
  <si>
    <t>University of Alberta</t>
  </si>
  <si>
    <t>Universidade Federal do Rio de Janeiro</t>
  </si>
  <si>
    <t>University of Tartu</t>
  </si>
  <si>
    <t>Estonia</t>
  </si>
  <si>
    <t>East China Normal University</t>
  </si>
  <si>
    <t>Griffith University</t>
  </si>
  <si>
    <t>University of Cape Town</t>
  </si>
  <si>
    <t>South Africa</t>
  </si>
  <si>
    <t>Vanderbilt University</t>
  </si>
  <si>
    <t>University of California, Davis</t>
  </si>
  <si>
    <t>Hanyang University</t>
  </si>
  <si>
    <t>University of Antwerp</t>
  </si>
  <si>
    <t>University of Miami</t>
  </si>
  <si>
    <t>University of Bern</t>
  </si>
  <si>
    <t>Sun Yat-sen University</t>
  </si>
  <si>
    <t>The University of Western Australia</t>
  </si>
  <si>
    <t>Jagiellonian University</t>
  </si>
  <si>
    <t>City St George’s, University of London</t>
  </si>
  <si>
    <t>University of Kent</t>
  </si>
  <si>
    <t>Loughborough University</t>
  </si>
  <si>
    <t>University of Florida</t>
  </si>
  <si>
    <t>Universidade Estadual de Campinas (Unicamp)</t>
  </si>
  <si>
    <t>University of Reading</t>
  </si>
  <si>
    <t>Simon Fraser University</t>
  </si>
  <si>
    <t>Oxford Brookes University</t>
  </si>
  <si>
    <t>Uruguay</t>
  </si>
  <si>
    <t>Swansea University</t>
  </si>
  <si>
    <t>Indiana University Bloomington</t>
  </si>
  <si>
    <t>University College Cork</t>
  </si>
  <si>
    <t>RUDN University</t>
  </si>
  <si>
    <t>Sogang University</t>
  </si>
  <si>
    <t>Aberystwyth University</t>
  </si>
  <si>
    <t>George Mason University</t>
  </si>
  <si>
    <t>IE University</t>
  </si>
  <si>
    <t>Tel Aviv University</t>
  </si>
  <si>
    <t>Universidad Externado de Colombia</t>
  </si>
  <si>
    <t>Hong Kong Baptist University</t>
  </si>
  <si>
    <t>Sabanci University</t>
  </si>
  <si>
    <t>Stellenbosch University</t>
  </si>
  <si>
    <t>La Trobe University</t>
  </si>
  <si>
    <t>Istanbul University</t>
  </si>
  <si>
    <t>Saint Petersburg State University</t>
  </si>
  <si>
    <t>Universiti Kebangsaan Malaysia (UKM)</t>
  </si>
  <si>
    <t>University of Otago</t>
  </si>
  <si>
    <t>University of Turin</t>
  </si>
  <si>
    <t>Sophia University</t>
  </si>
  <si>
    <t>McMaster University</t>
  </si>
  <si>
    <t>Georgia State University</t>
  </si>
  <si>
    <t>Universitas Airlangga</t>
  </si>
  <si>
    <t>Lahore University of Management Sciences (LUMS)</t>
  </si>
  <si>
    <t>Pakistan</t>
  </si>
  <si>
    <t>Kazakhstan</t>
  </si>
  <si>
    <t>China University of Political Science and Law</t>
  </si>
  <si>
    <t>Universidade Nova de Lisboa</t>
  </si>
  <si>
    <t>Portugal</t>
  </si>
  <si>
    <t>Taras Shevchenko National University of Kyiv</t>
  </si>
  <si>
    <t>Ukraine</t>
  </si>
  <si>
    <t>Hitotsubashi University</t>
  </si>
  <si>
    <t>University of Denver</t>
  </si>
  <si>
    <t>Al-Farabi Kazakh National University</t>
  </si>
  <si>
    <t>Universitat Ramon Llull</t>
  </si>
  <si>
    <t>University of Technology Sydney</t>
  </si>
  <si>
    <t>City University of New York</t>
  </si>
  <si>
    <t>University of Navarra</t>
  </si>
  <si>
    <t>Kobe University</t>
  </si>
  <si>
    <t>Coventry University</t>
  </si>
  <si>
    <t>William &amp; Mary</t>
  </si>
  <si>
    <t>University of Trento</t>
  </si>
  <si>
    <t>University of Texas at Dallas</t>
  </si>
  <si>
    <t>Ca' Foscari University of Venice</t>
  </si>
  <si>
    <t>North Carolina State University</t>
  </si>
  <si>
    <t>Boston College</t>
  </si>
  <si>
    <t>University of Canberra</t>
  </si>
  <si>
    <t>Kyung Hee University</t>
  </si>
  <si>
    <t>Ateneo de Manila University</t>
  </si>
  <si>
    <t>De La Salle University</t>
  </si>
  <si>
    <t>Western University</t>
  </si>
  <si>
    <t>University of Coimbra</t>
  </si>
  <si>
    <t>University of Pretoria</t>
  </si>
  <si>
    <t>University of Lisbon</t>
  </si>
  <si>
    <t>University of Aberdeen</t>
  </si>
  <si>
    <t>Ankara Üniversitesi</t>
  </si>
  <si>
    <t>University of Tsukuba</t>
  </si>
  <si>
    <t>Universiti Sains Malaysia (USM)</t>
  </si>
  <si>
    <t>Hungary</t>
  </si>
  <si>
    <t>Western Sydney University</t>
  </si>
  <si>
    <t>Universidad de Antioquia</t>
  </si>
  <si>
    <t>Universidad de Guadalajara (UDG)</t>
  </si>
  <si>
    <t>Ewha Womans University</t>
  </si>
  <si>
    <t>United Arab Emirates University</t>
  </si>
  <si>
    <t>University of Missouri, Columbia</t>
  </si>
  <si>
    <t>Kyushu University</t>
  </si>
  <si>
    <t>Wuhan University</t>
  </si>
  <si>
    <t>University of East Anglia (UEA)</t>
  </si>
  <si>
    <t>University of Houston</t>
  </si>
  <si>
    <t>Babes-Bolyai University</t>
  </si>
  <si>
    <t>Romania</t>
  </si>
  <si>
    <t>Deakin University</t>
  </si>
  <si>
    <t>University of Bucharest</t>
  </si>
  <si>
    <t>Universität Bremen</t>
  </si>
  <si>
    <t>University of Siena</t>
  </si>
  <si>
    <t>National and Kapodistrian University of Athens</t>
  </si>
  <si>
    <t>Greece</t>
  </si>
  <si>
    <t>Wageningen University &amp; Research</t>
  </si>
  <si>
    <t>Goldsmiths, University of London</t>
  </si>
  <si>
    <t>University of Calgary</t>
  </si>
  <si>
    <t>Chiang Mai University</t>
  </si>
  <si>
    <t>University of Leicester</t>
  </si>
  <si>
    <t>Kingston University, London</t>
  </si>
  <si>
    <t>Tilburg University</t>
  </si>
  <si>
    <t>University of Basel</t>
  </si>
  <si>
    <t>University of Johannesburg</t>
  </si>
  <si>
    <t>Shanghai International Studies University</t>
  </si>
  <si>
    <t>Qatar University</t>
  </si>
  <si>
    <t>Qatar</t>
  </si>
  <si>
    <t>University of Belgrade</t>
  </si>
  <si>
    <t>Serbia</t>
  </si>
  <si>
    <t>University of Jordan</t>
  </si>
  <si>
    <t>Jordan</t>
  </si>
  <si>
    <t>Aristotle University of Thessaloniki</t>
  </si>
  <si>
    <t>Vilnius University</t>
  </si>
  <si>
    <t>Lithuania</t>
  </si>
  <si>
    <t>Ashoka University</t>
  </si>
  <si>
    <t>University of Hyderabad</t>
  </si>
  <si>
    <t>Xiamen University</t>
  </si>
  <si>
    <t>Rheinische Friedrich-Wilhelms-Universität Bonn</t>
  </si>
  <si>
    <t>Hokkaido University</t>
  </si>
  <si>
    <t>Beijing Foreign Studies University</t>
  </si>
  <si>
    <t>Tulane University</t>
  </si>
  <si>
    <t>University of Wollongong</t>
  </si>
  <si>
    <t>Norwegian University of Science And Technology</t>
  </si>
  <si>
    <t>Curtin University</t>
  </si>
  <si>
    <t>Hacettepe University</t>
  </si>
  <si>
    <t>University of Münster</t>
  </si>
  <si>
    <t>University of Connecticut</t>
  </si>
  <si>
    <t>Jadavpur University</t>
  </si>
  <si>
    <t>Name</t>
  </si>
  <si>
    <t>Country/Territory</t>
  </si>
  <si>
    <t>ETH Zurich (Swiss Federal Institute of Technology)</t>
  </si>
  <si>
    <t>UCL (University College London)</t>
  </si>
  <si>
    <t>The University of New South Wales</t>
  </si>
  <si>
    <t>École Polytechnique Fédérale de Lausanne</t>
  </si>
  <si>
    <t>PSL University</t>
  </si>
  <si>
    <t>Australian National University</t>
  </si>
  <si>
    <t>The Chinese University of Hong Kong</t>
  </si>
  <si>
    <t>University of Edinburgh</t>
  </si>
  <si>
    <t>The University of Amsterdam</t>
  </si>
  <si>
    <t>City University of Hong Kong</t>
  </si>
  <si>
    <t>King Fahd University of Petroleum &amp; Minerals</t>
  </si>
  <si>
    <t>Saudi Arabia</t>
  </si>
  <si>
    <t>University of Illinois at Urbana-Champaign</t>
  </si>
  <si>
    <t>Sorbonne University (merged from Paris IV &amp; UPMC)</t>
  </si>
  <si>
    <t>Ruprecht-Karls-Universität Heidelberg</t>
  </si>
  <si>
    <t>Universidad de Buenos Aires</t>
  </si>
  <si>
    <t>Tokyo Institute of Technology</t>
  </si>
  <si>
    <t>Freie Universität Berlin</t>
  </si>
  <si>
    <t>The University of Nottingham</t>
  </si>
  <si>
    <t>Karlsruhe Institute of Technology (KIT)</t>
  </si>
  <si>
    <t>Rheinisch-Westfälische Technische Hochschule Aachen</t>
  </si>
  <si>
    <t>Technical University of Denmark</t>
  </si>
  <si>
    <t>Queen Mary University of London (QMUL)</t>
  </si>
  <si>
    <t>Aalto University</t>
  </si>
  <si>
    <t>Pontificia Universidad Católica de Chile</t>
  </si>
  <si>
    <t>Indian Institute of Technology Delhi (IITD)</t>
  </si>
  <si>
    <t>Sungkyunkwan University</t>
  </si>
  <si>
    <t>Indian Institute of Technology Bombay (IITB)</t>
  </si>
  <si>
    <t>Universiti Putra Malaysia (UPM)</t>
  </si>
  <si>
    <t>Alma Mater Studiorum - University of Bologna</t>
  </si>
  <si>
    <t>Macquarie University</t>
  </si>
  <si>
    <t>Eindhoven University of Technology</t>
  </si>
  <si>
    <t>University of North Carolina, Chapel Hill</t>
  </si>
  <si>
    <t>King Saud University</t>
  </si>
  <si>
    <t>Technische Universität Berlin</t>
  </si>
  <si>
    <t>University of Liverpool</t>
  </si>
  <si>
    <t>Universiti Teknologi Malaysia (UTM)</t>
  </si>
  <si>
    <t>University of Barcelona</t>
  </si>
  <si>
    <t>King Abdul Aziz University (KAU)</t>
  </si>
  <si>
    <t>Chalmers University of Technology</t>
  </si>
  <si>
    <t>University of Montreal</t>
  </si>
  <si>
    <t>Universitat Autónoma de Barcelona</t>
  </si>
  <si>
    <t>National Tsing Hua University</t>
  </si>
  <si>
    <t>Khalifa University of Science and Technology</t>
  </si>
  <si>
    <t>Indian Institute of Technology Madras (IITM)</t>
  </si>
  <si>
    <t>Tecnológico de Monterrey (ITESM)</t>
  </si>
  <si>
    <t>University Complutense Madrid</t>
  </si>
  <si>
    <t>UNIVERSITAS INDONESIA</t>
  </si>
  <si>
    <t>Queen's University, Ontario</t>
  </si>
  <si>
    <t>Université Catholique de Louvain (UCL)</t>
  </si>
  <si>
    <t>Vienna University of Technology</t>
  </si>
  <si>
    <t>National Yang Ming Chiao Tung University</t>
  </si>
  <si>
    <t>Universität Freiburg</t>
  </si>
  <si>
    <t>National Cheng Kung University (NCKU)</t>
  </si>
  <si>
    <t>University of Twente</t>
  </si>
  <si>
    <t>Ecole Normale Supérieure de Lyon</t>
  </si>
  <si>
    <t>Indian Institute of Technology Kharagpur (IITKGP)</t>
  </si>
  <si>
    <t>Technische Universität Dresden</t>
  </si>
  <si>
    <t>Indian Institute of Technology Kanpur (IITK)</t>
  </si>
  <si>
    <t>Universitas Gadjah Mada</t>
  </si>
  <si>
    <t>Queensland University of Technology</t>
  </si>
  <si>
    <t>The University of Newcastle</t>
  </si>
  <si>
    <t>Université Libre de Bruxelles (ULB)</t>
  </si>
  <si>
    <t>Massey University</t>
  </si>
  <si>
    <t>Universität Erlangen-Nürnberg</t>
  </si>
  <si>
    <t>University of Padova</t>
  </si>
  <si>
    <t>University of Porto</t>
  </si>
  <si>
    <t>Hebrew University of Jerusalem</t>
  </si>
  <si>
    <t>Politecnico di Torino</t>
  </si>
  <si>
    <t>Georg-August-Universität Göttingen</t>
  </si>
  <si>
    <t>Hamad Bin Khalifa University</t>
  </si>
  <si>
    <t>University of Massachusetts, Amherst</t>
  </si>
  <si>
    <t>Universiti Teknologi Petronas (UTP)</t>
  </si>
  <si>
    <t>Taylor's University (Malaysia)</t>
  </si>
  <si>
    <t>Technische Universität Darmstadt</t>
  </si>
  <si>
    <t>Bandung Institute of Technology (ITB)</t>
  </si>
  <si>
    <t>Harbin Institute of Technology</t>
  </si>
  <si>
    <t>Tianjin University</t>
  </si>
  <si>
    <t>Beijing Institute of Technology</t>
  </si>
  <si>
    <t>University of Canterbury</t>
  </si>
  <si>
    <t>University of Surrey</t>
  </si>
  <si>
    <t>Universitat Pompeu Fabra</t>
  </si>
  <si>
    <t>UCSI University</t>
  </si>
  <si>
    <t>American University of Sharjah (AUS)</t>
  </si>
  <si>
    <t>Universität zu Köln</t>
  </si>
  <si>
    <t>Radboud University Nijmegen</t>
  </si>
  <si>
    <t>University of Waikato</t>
  </si>
  <si>
    <t>Dalhousie University</t>
  </si>
  <si>
    <t>University of Galway / Ollscoil na Gaillimhe</t>
  </si>
  <si>
    <t>University of Macau</t>
  </si>
  <si>
    <t>Macao SAR, China</t>
  </si>
  <si>
    <t>Heriot-Watt University</t>
  </si>
  <si>
    <t>University of Arizona</t>
  </si>
  <si>
    <t>University of The Witwatersrand</t>
  </si>
  <si>
    <t>Case Western Reserve University</t>
  </si>
  <si>
    <t>Swinburne University of Technology</t>
  </si>
  <si>
    <t>Istanbul Technical University</t>
  </si>
  <si>
    <t>Université Paris Cité</t>
  </si>
  <si>
    <t>Universidad Carlos III de Madrid</t>
  </si>
  <si>
    <t>University of Southern Denmark</t>
  </si>
  <si>
    <t>Xi'an Jiaotong University</t>
  </si>
  <si>
    <t>Aalborg University</t>
  </si>
  <si>
    <t>Linköping University</t>
  </si>
  <si>
    <t>Ulsan National Institute of Science and Technology</t>
  </si>
  <si>
    <t>Universität Stuttgart</t>
  </si>
  <si>
    <t>University of Tasmania</t>
  </si>
  <si>
    <t>Goethe Universität Frankfurt am Main</t>
  </si>
  <si>
    <t>L.N. Gumilyov Eurasian National University</t>
  </si>
  <si>
    <t>Huazhong University of Science and Technology</t>
  </si>
  <si>
    <t>Bauman Moscow State Technical University</t>
  </si>
  <si>
    <t>University of Tehran</t>
  </si>
  <si>
    <t>Iran (Islamic Republic of)</t>
  </si>
  <si>
    <t>Koc University</t>
  </si>
  <si>
    <t>Sichuan University</t>
  </si>
  <si>
    <t>Rutgers University – New Brunswick</t>
  </si>
  <si>
    <t>University of Sharjah</t>
  </si>
  <si>
    <t>Satbayev University (previously Kazakh Technical University named after K.I. Satpaev)</t>
  </si>
  <si>
    <t>Indian Institute of Technology Guwahati (IITG)</t>
  </si>
  <si>
    <t>Sultan Qaboos University</t>
  </si>
  <si>
    <t>Oman</t>
  </si>
  <si>
    <t>Universidad Politécnica de Madrid</t>
  </si>
  <si>
    <t>University of Illinois Chicago (UIC)</t>
  </si>
  <si>
    <t>Indian Institute of Technology Roorkee (IITR)</t>
  </si>
  <si>
    <t>Shandong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</si>
  <si>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</si>
  <si>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</si>
  <si>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</si>
  <si>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</si>
  <si>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Pontificia Universidad Católica del Perú (PUCP)</t>
  </si>
  <si>
    <t>Technion - Israel Institute of Technology</t>
  </si>
  <si>
    <t>Universität Innsbruck</t>
  </si>
  <si>
    <t>Quaid-i-azam University</t>
  </si>
  <si>
    <t>Nankai University</t>
  </si>
  <si>
    <t>National Technical University of Athens</t>
  </si>
  <si>
    <t>Università degli Studi di Roma - Tor Vergata</t>
  </si>
  <si>
    <t>Mahidol University</t>
  </si>
  <si>
    <t>University of Victoria</t>
  </si>
  <si>
    <t>Virginia Polytechnic Institute (Virginia Tech)</t>
  </si>
  <si>
    <t>University of Turku</t>
  </si>
  <si>
    <t>Sciences Po Paris</t>
  </si>
  <si>
    <t>Universiti Brunei Darussalam (UBD)</t>
  </si>
  <si>
    <t>Brunei Darussalam</t>
  </si>
  <si>
    <t>Daegu Gyeongbuk Institute of Science and Technology (DGIST)</t>
  </si>
  <si>
    <t>Bogazici University</t>
  </si>
  <si>
    <t>National University of Sciences And Technology (NUST) Islamabad</t>
  </si>
  <si>
    <t>Sharif University of Technology</t>
  </si>
  <si>
    <t>South China University of Technology</t>
  </si>
  <si>
    <t>University of Saskatchewan</t>
  </si>
  <si>
    <t>University of Liege</t>
  </si>
  <si>
    <t>University of Naples - Federico II</t>
  </si>
  <si>
    <t>University of Luxembourg</t>
  </si>
  <si>
    <t>Luxembourg</t>
  </si>
  <si>
    <t>Northeastern University</t>
  </si>
  <si>
    <t>Brunel University of London</t>
  </si>
  <si>
    <t>Gwangju Institute of Science and Technology (GIST)</t>
  </si>
  <si>
    <t>Flinders University</t>
  </si>
  <si>
    <t>Beihang University (former BUAA)</t>
  </si>
  <si>
    <t>Birkbeck College, University of London</t>
  </si>
  <si>
    <t>Abu Dhabi University</t>
  </si>
  <si>
    <t>Sejong University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</si>
  <si>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</si>
  <si>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</si>
  <si>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</si>
  <si>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</si>
  <si>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</si>
  <si>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IPB University (aka Bogor Agricultural University)</t>
  </si>
  <si>
    <t>Umeå University</t>
  </si>
  <si>
    <t>University of Granada</t>
  </si>
  <si>
    <t>University of Limerick</t>
  </si>
  <si>
    <t>Institut National des Sciences Appliquées de Lyon (INSA)</t>
  </si>
  <si>
    <t>Lincoln University</t>
  </si>
  <si>
    <t>Università  Cattolica del Sacro Cuore</t>
  </si>
  <si>
    <t>Auckland University of Technology</t>
  </si>
  <si>
    <t>Sunway University</t>
  </si>
  <si>
    <t>University at Buffalo SUNY</t>
  </si>
  <si>
    <t>University of Southern Queensland</t>
  </si>
  <si>
    <t>Czech Technical University In Prague</t>
  </si>
  <si>
    <t>Julius-Maximilians-Universität Würzburg</t>
  </si>
  <si>
    <t>University of Aveiro</t>
  </si>
  <si>
    <t>National Taipei University of Technology</t>
  </si>
  <si>
    <t>Université de Strasbourg</t>
  </si>
  <si>
    <t>Universitat Politecnica de Valencia</t>
  </si>
  <si>
    <t>Murdoch University</t>
  </si>
  <si>
    <t>Tampere University</t>
  </si>
  <si>
    <t>Università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</si>
  <si>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</si>
  <si>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</si>
  <si>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</si>
  <si>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</si>
  <si>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</si>
  <si>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</si>
  <si>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</si>
  <si>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Leibniz Universität Hannover</t>
  </si>
  <si>
    <t>National Taiwan Normal University</t>
  </si>
  <si>
    <t>Prince Mohammad Bin Fahd University</t>
  </si>
  <si>
    <t>National Sun Yat-sen University</t>
  </si>
  <si>
    <t>Ajman University</t>
  </si>
  <si>
    <t>James Cook University</t>
  </si>
  <si>
    <t>Macau University of Science and Technology</t>
  </si>
  <si>
    <t>National Research University Higher School of Economics (HSE, Moscow)</t>
  </si>
  <si>
    <t>University of California, Riverside</t>
  </si>
  <si>
    <t>Belarusian State University</t>
  </si>
  <si>
    <t>Belarus</t>
  </si>
  <si>
    <t>Universität Bayreuth</t>
  </si>
  <si>
    <t>Iowa State University</t>
  </si>
  <si>
    <t>Kazan Federal University</t>
  </si>
  <si>
    <t>Universidade Estadual Paulista "Júlio de Mesquita Filho" (UNESP)</t>
  </si>
  <si>
    <t>Johannes Gutenberg Universität Mainz</t>
  </si>
  <si>
    <t>Shenzhen University</t>
  </si>
  <si>
    <t>Stony Brook University</t>
  </si>
  <si>
    <t>University of Cyprus</t>
  </si>
  <si>
    <t>Cyprus</t>
  </si>
  <si>
    <t>Amirkabir University of Technology</t>
  </si>
  <si>
    <t>Colorado State University</t>
  </si>
  <si>
    <t>Universidad Nacional de La Plata</t>
  </si>
  <si>
    <t>University of California, Santa Cruz</t>
  </si>
  <si>
    <t>Jordan University of Science &amp; Technology</t>
  </si>
  <si>
    <t>Novosibirsk State University</t>
  </si>
  <si>
    <t>Royal Holloway University of London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</si>
  <si>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</si>
  <si>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</si>
  <si>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</si>
  <si>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</si>
  <si>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</si>
  <si>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</si>
  <si>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</si>
  <si>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</si>
  <si>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Uzbekistan</t>
  </si>
  <si>
    <t>Universidad de Sevilla</t>
  </si>
  <si>
    <t>Jilin University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</si>
  <si>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</si>
  <si>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</si>
  <si>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</si>
  <si>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</si>
  <si>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</si>
  <si>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</si>
  <si>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</si>
  <si>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</si>
  <si>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</si>
  <si>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</si>
  <si>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Viet Nam</t>
  </si>
  <si>
    <t>Edith Cowan University</t>
  </si>
  <si>
    <t>Technische Universität Bergakademie Freiberg</t>
  </si>
  <si>
    <t>Warsaw University of Technology</t>
  </si>
  <si>
    <t>Universidad de Santiago de Chile - USACH</t>
  </si>
  <si>
    <t>Central South University</t>
  </si>
  <si>
    <t>Imam Abdulrahman Bin Faisal University (formerly University of Dammam)</t>
  </si>
  <si>
    <t>Universiti Utara Malaysia (UUM)</t>
  </si>
  <si>
    <t>Université de Bordeaux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</si>
  <si>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</si>
  <si>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</si>
  <si>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</si>
  <si>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</si>
  <si>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</si>
  <si>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</si>
  <si>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</si>
  <si>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Costa Rica</t>
  </si>
  <si>
    <t>Shoolini University of Biotechnology and Management Sciences</t>
  </si>
  <si>
    <t>China Agricultural University</t>
  </si>
  <si>
    <t>Chongqing University</t>
  </si>
  <si>
    <t>Hunan University</t>
  </si>
  <si>
    <t>University of Guelph</t>
  </si>
  <si>
    <t>China Medical University</t>
  </si>
  <si>
    <t>Institut Teknologi Sepuluh Nopember (ITS)</t>
  </si>
  <si>
    <t>INTI International University</t>
  </si>
  <si>
    <t>University of Bradford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</si>
  <si>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</si>
  <si>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</si>
  <si>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</si>
  <si>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</si>
  <si>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</si>
  <si>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</si>
  <si>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</si>
  <si>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</si>
  <si>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</si>
  <si>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</si>
  <si>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University of Hull</t>
  </si>
  <si>
    <t>The Education University of Hong Kong</t>
  </si>
  <si>
    <t>University of Genoa</t>
  </si>
  <si>
    <t>University of Iowa</t>
  </si>
  <si>
    <t>King Khalid University</t>
  </si>
  <si>
    <t>Lebanese American University</t>
  </si>
  <si>
    <t>Prince Sultan University</t>
  </si>
  <si>
    <t>Universität Leipzig</t>
  </si>
  <si>
    <t>University of Ljubljana</t>
  </si>
  <si>
    <t>Slovenia</t>
  </si>
  <si>
    <t>Jinan University (China)</t>
  </si>
  <si>
    <t>University of Utah</t>
  </si>
  <si>
    <t>Ain Shams University</t>
  </si>
  <si>
    <t>Universiti Teknologi MARA - UiTM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</si>
  <si>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</si>
  <si>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</si>
  <si>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</si>
  <si>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</si>
  <si>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</si>
  <si>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Northumbria University at Newcastle</t>
  </si>
  <si>
    <t>Universiti Tenaga Nasional (UNITEN)</t>
  </si>
  <si>
    <t>University of Delaware</t>
  </si>
  <si>
    <t>Indian Institute of Technology Indore</t>
  </si>
  <si>
    <t>Al Ain University</t>
  </si>
  <si>
    <t>University of Kwazulu-Natal</t>
  </si>
  <si>
    <t>Ajou University</t>
  </si>
  <si>
    <t>American University of the Middle East</t>
  </si>
  <si>
    <t>Kuwait</t>
  </si>
  <si>
    <t>University of Debrecen</t>
  </si>
  <si>
    <t>Bangor University</t>
  </si>
  <si>
    <t>Indian Institute of Technology BHU Varanasi (IIT BHU Varanasi)</t>
  </si>
  <si>
    <t>Renmin (People’s) University of China</t>
  </si>
  <si>
    <t>Savitribai Phule Pune University</t>
  </si>
  <si>
    <t>University of Minho</t>
  </si>
  <si>
    <t>Colorado School of Mines</t>
  </si>
  <si>
    <t>Isfahan University of Technology</t>
  </si>
  <si>
    <t>Pontificia Universidade Católica do Rio de Janeiro (PUC - Rio)</t>
  </si>
  <si>
    <t>Brno University of Technology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</si>
  <si>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</si>
  <si>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</si>
  <si>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</si>
  <si>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</si>
  <si>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</si>
  <si>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</si>
  <si>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University of Iceland</t>
  </si>
  <si>
    <t>Iceland</t>
  </si>
  <si>
    <t>Charles Darwin University</t>
  </si>
  <si>
    <t>Eotvos Lorand University</t>
  </si>
  <si>
    <t>University of Dhaka</t>
  </si>
  <si>
    <t>Bangladesh</t>
  </si>
  <si>
    <t>National Central University</t>
  </si>
  <si>
    <t>Université Claude Bernard Lyon 1</t>
  </si>
  <si>
    <t>Université Paul Sabatier Toulouse III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</si>
  <si>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</si>
  <si>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</si>
  <si>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</si>
  <si>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</si>
  <si>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</si>
  <si>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</si>
  <si>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</si>
  <si>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</si>
  <si>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</si>
  <si>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</si>
  <si>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University of Szeged</t>
  </si>
  <si>
    <t>Canadian University of Dubai</t>
  </si>
  <si>
    <t>University of Eastern Finland</t>
  </si>
  <si>
    <t>University of Tennessee</t>
  </si>
  <si>
    <t>Nottingham Trent University</t>
  </si>
  <si>
    <t>Peter the Great St.Petersburg Polytechnic University</t>
  </si>
  <si>
    <t>Universiti Malaysia Pahang Al-Sultan Abdullah (UMPSA)</t>
  </si>
  <si>
    <t>University of Ulster</t>
  </si>
  <si>
    <t>Applied Science University - Bahrain</t>
  </si>
  <si>
    <t>Bahrain</t>
  </si>
  <si>
    <t>International Islamic University Malaysia (IIUM)</t>
  </si>
  <si>
    <t>Universidad de Concepción</t>
  </si>
  <si>
    <t>University of Plymouth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</si>
  <si>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</si>
  <si>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</si>
  <si>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</si>
  <si>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</si>
  <si>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</si>
  <si>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</si>
  <si>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Diponegoro University</t>
  </si>
  <si>
    <t>Oregon State University</t>
  </si>
  <si>
    <t>Universidad del Pais Vasco</t>
  </si>
  <si>
    <t>Yeshiva University</t>
  </si>
  <si>
    <t>Kazakh National Pedagogical University Abai</t>
  </si>
  <si>
    <t>Missouri University of Science and Technology</t>
  </si>
  <si>
    <t>National Chung Hsing University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</si>
  <si>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</si>
  <si>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</si>
  <si>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</si>
  <si>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</si>
  <si>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</si>
  <si>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</si>
  <si>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</si>
  <si>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</si>
  <si>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</si>
  <si>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</si>
  <si>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</si>
  <si>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</si>
  <si>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</si>
  <si>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</si>
  <si>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</si>
  <si>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</si>
  <si>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King Faisal University</t>
  </si>
  <si>
    <t>University of Tromso, The Arctic University of Norway</t>
  </si>
  <si>
    <t>MGIMO University</t>
  </si>
  <si>
    <t>Paris Lodron University of Salzburg</t>
  </si>
  <si>
    <t>Universidad de la República (UdelaR)</t>
  </si>
  <si>
    <t>University of Brescia</t>
  </si>
  <si>
    <t>China University of Mining and Technology</t>
  </si>
  <si>
    <t>Konkuk University</t>
  </si>
  <si>
    <t>Université de Lille</t>
  </si>
  <si>
    <t>University of Agriculture, Faisalabad</t>
  </si>
  <si>
    <t>University of South Florida</t>
  </si>
  <si>
    <t>Bar-Ilan University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</si>
  <si>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</si>
  <si>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</si>
  <si>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</si>
  <si>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</si>
  <si>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</si>
  <si>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Birla Institute of Technology and Science</t>
  </si>
  <si>
    <t>Chang Gung University</t>
  </si>
  <si>
    <t>Karl-Franzens-Universität Graz</t>
  </si>
  <si>
    <t>Lehigh University</t>
  </si>
  <si>
    <t>Palacký University in Olomouc</t>
  </si>
  <si>
    <t>East China University of Science and Technology</t>
  </si>
  <si>
    <t>Stevens Institute of Technology</t>
  </si>
  <si>
    <t>Technische Universität Dortmund</t>
  </si>
  <si>
    <t>Beirut Arab University</t>
  </si>
  <si>
    <t>American University in Dubai</t>
  </si>
  <si>
    <t>University of Haifa</t>
  </si>
  <si>
    <t>Nanjing University of Aeronautics and Astronautics</t>
  </si>
  <si>
    <t>University of Brawijaya</t>
  </si>
  <si>
    <t>Comenius University Bratislava</t>
  </si>
  <si>
    <t>Slovakia</t>
  </si>
  <si>
    <t>Ton Duc Thang University</t>
  </si>
  <si>
    <t>China University of Petroleum</t>
  </si>
  <si>
    <t>Cyprus University of Technology</t>
  </si>
  <si>
    <t>Baku State University</t>
  </si>
  <si>
    <t>Azerbaijan</t>
  </si>
  <si>
    <t>Tomsk Polytechnic University</t>
  </si>
  <si>
    <t>Université Côte d’Azur</t>
  </si>
  <si>
    <t>Eastern Mediterranean University</t>
  </si>
  <si>
    <t>Northern Cyprus</t>
  </si>
  <si>
    <t>Universidade Federal do Rio Grande Do Sul</t>
  </si>
  <si>
    <t>Universität Regensburg</t>
  </si>
  <si>
    <t>Vellore Institute of Technology (VIT), Vellore, India</t>
  </si>
  <si>
    <t>Rensselaer Polytechnic Institute</t>
  </si>
  <si>
    <t>Symbiosis International (Deemed University)</t>
  </si>
  <si>
    <t>TUHH Hamburg University of Technology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</si>
  <si>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</si>
  <si>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</si>
  <si>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</si>
  <si>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</si>
  <si>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</si>
  <si>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Jeonbuk National University (formerly known as Chonbuk National University)</t>
  </si>
  <si>
    <t>Kasetsart University</t>
  </si>
  <si>
    <t>Lingnan University, Hong Kong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</si>
  <si>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</si>
  <si>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</si>
  <si>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</si>
  <si>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</si>
  <si>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</si>
  <si>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Croatia</t>
  </si>
  <si>
    <t>Asia University Taiwan</t>
  </si>
  <si>
    <t>Budapest University of Technology and Economics</t>
  </si>
  <si>
    <t>Drexel University</t>
  </si>
  <si>
    <t>ISCTE - Instituto Universitario de Lisboa</t>
  </si>
  <si>
    <t>ITMO University</t>
  </si>
  <si>
    <t>Technische Universität Braunschweig</t>
  </si>
  <si>
    <t>Toronto Metropolitan University (formerly Ryerson University)</t>
  </si>
  <si>
    <t>Universität Hohenheim</t>
  </si>
  <si>
    <t>Université de Rennes 1</t>
  </si>
  <si>
    <t>University of Nebraska - Lincoln</t>
  </si>
  <si>
    <t>National University of Science and Technology MISiS</t>
  </si>
  <si>
    <t>National University of Uzbekistan</t>
  </si>
  <si>
    <t>Pakistan Institute of Engineering and Applied Sciences (PIEAS)</t>
  </si>
  <si>
    <t>Prince Sattam Bin Abdulaziz University</t>
  </si>
  <si>
    <t>Temple University</t>
  </si>
  <si>
    <t>University of Cincinnati</t>
  </si>
  <si>
    <t>University of Patras</t>
  </si>
  <si>
    <t>UWE Bristol (University of the West of England)</t>
  </si>
  <si>
    <t>Auezov South Kazakhstan State University (SKSU)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</si>
  <si>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</si>
  <si>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</si>
  <si>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</si>
  <si>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</si>
  <si>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</si>
  <si>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Bulgaria</t>
  </si>
  <si>
    <t>Texas Tech University</t>
  </si>
  <si>
    <t>Universidad Central de Venezuela - UCV</t>
  </si>
  <si>
    <t>Venezuela (Bolivarian Republic of)</t>
  </si>
  <si>
    <t>Université de Tunis El Manar</t>
  </si>
  <si>
    <t>Tunisia</t>
  </si>
  <si>
    <t>Yildiz Technical University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</si>
  <si>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</si>
  <si>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</si>
  <si>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</si>
  <si>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</si>
  <si>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</si>
  <si>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The Catholic University of Korea</t>
  </si>
  <si>
    <t>University of Baghdad</t>
  </si>
  <si>
    <t>Iraq</t>
  </si>
  <si>
    <t>University of Malta</t>
  </si>
  <si>
    <t>Malta</t>
  </si>
  <si>
    <t>University of Messina</t>
  </si>
  <si>
    <t>University of Pecs</t>
  </si>
  <si>
    <t>Victoria University</t>
  </si>
  <si>
    <t>Vytautas Magnus University</t>
  </si>
  <si>
    <t>Martin-Luther-Universität Halle-Wittenberg</t>
  </si>
  <si>
    <t>Université de Lorraine</t>
  </si>
  <si>
    <t>University of New Mexico</t>
  </si>
  <si>
    <t>University of Oregon</t>
  </si>
  <si>
    <t>University of Trieste</t>
  </si>
  <si>
    <t>Al-Ahliyya Amman University</t>
  </si>
  <si>
    <t>Bangladesh University of Engineering and Technology</t>
  </si>
  <si>
    <t>Czech University of Life Sciences in Prague</t>
  </si>
  <si>
    <t>Government College University, Faisalabad</t>
  </si>
  <si>
    <t>Jamia Millia Islamia, New Delhi</t>
  </si>
  <si>
    <t>Khoja Akhmet Yassawi International Kazakh-Turkish University</t>
  </si>
  <si>
    <t>Kaohsiung Medical University</t>
  </si>
  <si>
    <t>New Jersey Institute of Technology (NJIT)</t>
  </si>
  <si>
    <t>Riga Technical University</t>
  </si>
  <si>
    <t>Latvia</t>
  </si>
  <si>
    <t>University of Nizwa</t>
  </si>
  <si>
    <t>Vietnam National University, Hanoi</t>
  </si>
  <si>
    <t>Holy Spirit University of Kaslik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</si>
  <si>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</si>
  <si>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</si>
  <si>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</si>
  <si>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</si>
  <si>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</si>
  <si>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</si>
  <si>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</si>
  <si>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Alexandria University</t>
  </si>
  <si>
    <t>Hong Kong Metropolitan University</t>
  </si>
  <si>
    <t>Kuwait University</t>
  </si>
  <si>
    <t>Technological University of Dublin</t>
  </si>
  <si>
    <t>Universidad de Alicante</t>
  </si>
  <si>
    <t>Universidade Católica Portuguesa, UCP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</si>
  <si>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</si>
  <si>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</si>
  <si>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</si>
  <si>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</si>
  <si>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</si>
  <si>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Beijing University of Technology</t>
  </si>
  <si>
    <t>Chiba University</t>
  </si>
  <si>
    <t>Lanzhou University</t>
  </si>
  <si>
    <t>Norwegian University of Life Sciences (UMB)</t>
  </si>
  <si>
    <t>Pontificia Universidad Católica de Valparaíso</t>
  </si>
  <si>
    <t>Universiti Tunku Abdul Rahman (UTAR)</t>
  </si>
  <si>
    <t>Wake Forest University</t>
  </si>
  <si>
    <t>AGH University of Krakow</t>
  </si>
  <si>
    <t>Ahlia University</t>
  </si>
  <si>
    <t>Alfaisal University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</si>
  <si>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</si>
  <si>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</si>
  <si>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</si>
  <si>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</si>
  <si>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</si>
  <si>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</si>
  <si>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</si>
  <si>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</si>
  <si>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</si>
  <si>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</si>
  <si>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</si>
  <si>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</si>
  <si>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</si>
  <si>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</si>
  <si>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</si>
  <si>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</si>
  <si>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</si>
  <si>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Tokyo University of Science (RIKADAI)</t>
  </si>
  <si>
    <t>Universidad de la Habana</t>
  </si>
  <si>
    <t>Cuba</t>
  </si>
  <si>
    <t>Universidad de Montevideo</t>
  </si>
  <si>
    <t>Universidad de San Francisco de Quito</t>
  </si>
  <si>
    <t>Ecuador</t>
  </si>
  <si>
    <t>Universidade de Brasilia (UnB)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</si>
  <si>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</si>
  <si>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</si>
  <si>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</si>
  <si>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</si>
  <si>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</si>
  <si>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</si>
  <si>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</si>
  <si>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</si>
  <si>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</si>
  <si>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</si>
  <si>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</si>
  <si>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</si>
  <si>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</si>
  <si>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</si>
  <si>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</si>
  <si>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</si>
  <si>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</si>
  <si>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</si>
  <si>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</si>
  <si>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</si>
  <si>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</si>
  <si>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</si>
  <si>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Addis Ababa University</t>
  </si>
  <si>
    <t>Ethiopia</t>
  </si>
  <si>
    <t>Altai State University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</si>
  <si>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</si>
  <si>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</si>
  <si>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</si>
  <si>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</si>
  <si>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</si>
  <si>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</si>
  <si>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BINUS UNIVERSITY (Bina Nusantara University)</t>
  </si>
  <si>
    <t>Catania University</t>
  </si>
  <si>
    <t>China University of Geosciences</t>
  </si>
  <si>
    <t>Chungnam National University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</si>
  <si>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</si>
  <si>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</si>
  <si>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</si>
  <si>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</si>
  <si>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</si>
  <si>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</si>
  <si>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</si>
  <si>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</si>
  <si>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</si>
  <si>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</si>
  <si>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</si>
  <si>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</si>
  <si>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</si>
  <si>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</si>
  <si>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</si>
  <si>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</si>
  <si>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</si>
  <si>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</si>
  <si>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</si>
  <si>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</si>
  <si>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</si>
  <si>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</si>
  <si>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</si>
  <si>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</si>
  <si>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</si>
  <si>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</si>
  <si>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</si>
  <si>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</si>
  <si>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</si>
  <si>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</si>
  <si>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</si>
  <si>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Ghana</t>
  </si>
  <si>
    <t>University of Santo Tomas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</si>
  <si>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</si>
  <si>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</si>
  <si>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</si>
  <si>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</si>
  <si>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</si>
  <si>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</si>
  <si>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</si>
  <si>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Al Jouf University</t>
  </si>
  <si>
    <t>American University of Central Asia</t>
  </si>
  <si>
    <t>Kyrgyzstan</t>
  </si>
  <si>
    <t>Baku Engineering University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</si>
  <si>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</si>
  <si>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</si>
  <si>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</si>
  <si>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</si>
  <si>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</si>
  <si>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</si>
  <si>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</si>
  <si>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</si>
  <si>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</si>
  <si>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</si>
  <si>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</si>
  <si>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</si>
  <si>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</si>
  <si>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</si>
  <si>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</si>
  <si>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</si>
  <si>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</si>
  <si>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</si>
  <si>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</si>
  <si>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</si>
  <si>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</si>
  <si>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</si>
  <si>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</si>
  <si>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</si>
  <si>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</si>
  <si>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</si>
  <si>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</si>
  <si>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</si>
  <si>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</si>
  <si>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</si>
  <si>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</si>
  <si>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</si>
  <si>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</si>
  <si>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</si>
  <si>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</si>
  <si>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</si>
  <si>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</si>
  <si>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</si>
  <si>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</si>
  <si>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</si>
  <si>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</si>
  <si>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</si>
  <si>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</si>
  <si>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</si>
  <si>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</si>
  <si>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Al Nahrain University</t>
  </si>
  <si>
    <t>Al-Quds University</t>
  </si>
  <si>
    <t>Palestine</t>
  </si>
  <si>
    <t>Amity University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</si>
  <si>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</si>
  <si>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</si>
  <si>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</si>
  <si>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</si>
  <si>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</si>
  <si>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</si>
  <si>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</si>
  <si>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</si>
  <si>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</si>
  <si>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</si>
  <si>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</si>
  <si>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</si>
  <si>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Georgia</t>
  </si>
  <si>
    <t>Khazar University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</si>
  <si>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</si>
  <si>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</si>
  <si>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</si>
  <si>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</si>
  <si>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</si>
  <si>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</si>
  <si>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</si>
  <si>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</si>
  <si>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</si>
  <si>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</si>
  <si>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</si>
  <si>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</si>
  <si>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</si>
  <si>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</si>
  <si>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</si>
  <si>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</si>
  <si>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</si>
  <si>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</si>
  <si>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</si>
  <si>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</si>
  <si>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Nacional Mayor de San Marcos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</si>
  <si>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</si>
  <si>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</si>
  <si>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</si>
  <si>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</si>
  <si>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</si>
  <si>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</si>
  <si>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</si>
  <si>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</si>
  <si>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</si>
  <si>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Adamson University</t>
  </si>
  <si>
    <t>Aga Khan University</t>
  </si>
  <si>
    <t>Al Azhar University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</si>
  <si>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</si>
  <si>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</si>
  <si>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</si>
  <si>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</si>
  <si>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</si>
  <si>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</si>
  <si>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</si>
  <si>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</si>
  <si>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</si>
  <si>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</si>
  <si>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</si>
  <si>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</si>
  <si>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</si>
  <si>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</si>
  <si>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</si>
  <si>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</si>
  <si>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</si>
  <si>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</si>
  <si>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</si>
  <si>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</si>
  <si>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</si>
  <si>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</si>
  <si>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</si>
  <si>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</si>
  <si>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</si>
  <si>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</si>
  <si>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</si>
  <si>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</si>
  <si>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</si>
  <si>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</si>
  <si>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</si>
  <si>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</si>
  <si>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</si>
  <si>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</si>
  <si>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</si>
  <si>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</si>
  <si>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</si>
  <si>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</si>
  <si>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</si>
  <si>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</si>
  <si>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</si>
  <si>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</si>
  <si>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</si>
  <si>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</si>
  <si>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</si>
  <si>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</si>
  <si>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</si>
  <si>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</si>
  <si>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</si>
  <si>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</si>
  <si>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</si>
  <si>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Uganda</t>
  </si>
  <si>
    <t>Mansoura University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</si>
  <si>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</si>
  <si>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</si>
  <si>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</si>
  <si>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</si>
  <si>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</si>
  <si>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</si>
  <si>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</si>
  <si>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</si>
  <si>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</si>
  <si>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</si>
  <si>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</si>
  <si>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</si>
  <si>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</si>
  <si>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</si>
  <si>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</si>
  <si>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</si>
  <si>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</si>
  <si>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</si>
  <si>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</si>
  <si>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</si>
  <si>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</si>
  <si>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</si>
  <si>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</si>
  <si>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</si>
  <si>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</si>
  <si>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</si>
  <si>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</si>
  <si>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</si>
  <si>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</si>
  <si>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</si>
  <si>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</si>
  <si>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</si>
  <si>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</si>
  <si>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</si>
  <si>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</si>
  <si>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</si>
  <si>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</si>
  <si>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</si>
  <si>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</si>
  <si>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</si>
  <si>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</si>
  <si>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</si>
  <si>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</si>
  <si>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</si>
  <si>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</si>
  <si>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</si>
  <si>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</si>
  <si>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</si>
  <si>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</si>
  <si>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</si>
  <si>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</si>
  <si>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</si>
  <si>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</si>
  <si>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</si>
  <si>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</si>
  <si>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</si>
  <si>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</si>
  <si>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las Américas Puebla (UDLAP)</t>
  </si>
  <si>
    <t>Universidad de León</t>
  </si>
  <si>
    <t>Universidad de Puerto Rico</t>
  </si>
  <si>
    <t>Puerto Rico</t>
  </si>
  <si>
    <t>Universidad de San Andrés</t>
  </si>
  <si>
    <t>Universidad de Talca</t>
  </si>
  <si>
    <t>Universidad del Valle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</si>
  <si>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</si>
  <si>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</si>
  <si>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</si>
  <si>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</si>
  <si>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</si>
  <si>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</si>
  <si>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</si>
  <si>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</si>
  <si>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</si>
  <si>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</si>
  <si>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</si>
  <si>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</si>
  <si>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 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</si>
  <si>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</si>
  <si>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</si>
  <si>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</si>
  <si>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</si>
  <si>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</si>
  <si>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</si>
  <si>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</si>
  <si>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</si>
  <si>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</si>
  <si>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</si>
  <si>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</si>
  <si>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</si>
  <si>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</si>
  <si>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</si>
  <si>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</si>
  <si>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</si>
  <si>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</si>
  <si>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</si>
  <si>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</si>
  <si>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Sri Lanka</t>
  </si>
  <si>
    <t>University of Deusto</t>
  </si>
  <si>
    <t>University of East London</t>
  </si>
  <si>
    <t>University of Hradec Kralove</t>
  </si>
  <si>
    <t>University of Ibadan</t>
  </si>
  <si>
    <t>Nigeria</t>
  </si>
  <si>
    <t>University of Idaho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</si>
  <si>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</si>
  <si>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</si>
  <si>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</si>
  <si>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</si>
  <si>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</si>
  <si>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</si>
  <si>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</si>
  <si>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</si>
  <si>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</si>
  <si>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</si>
  <si>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Kenya</t>
  </si>
  <si>
    <t>University of Nevada - Reno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</si>
  <si>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</si>
  <si>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</si>
  <si>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</si>
  <si>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</si>
  <si>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</si>
  <si>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</si>
  <si>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</si>
  <si>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</si>
  <si>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</si>
  <si>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</si>
  <si>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</si>
  <si>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</si>
  <si>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</si>
  <si>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</si>
  <si>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</si>
  <si>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</si>
  <si>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</si>
  <si>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</si>
  <si>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</si>
  <si>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</si>
  <si>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</si>
  <si>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</si>
  <si>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</si>
  <si>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</si>
  <si>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Xi'an Jiaotong-Liverpool University</t>
  </si>
  <si>
    <t>Yerevan State University</t>
  </si>
  <si>
    <t>Armenia</t>
  </si>
  <si>
    <t>Yokohama City University</t>
  </si>
  <si>
    <t>Yokohama National University</t>
  </si>
  <si>
    <t>Yuan Ze University</t>
  </si>
  <si>
    <t>ADA University</t>
  </si>
  <si>
    <t>Ahmadu Bello University, Zaria</t>
  </si>
  <si>
    <t>Al Zaytoonah University</t>
  </si>
  <si>
    <t>Al-Balqa Applied University</t>
  </si>
  <si>
    <t>Amman Arab University</t>
  </si>
  <si>
    <t>Ataturk University</t>
  </si>
  <si>
    <t>Bahauddin Zakariya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</si>
  <si>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</si>
  <si>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</si>
  <si>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</si>
  <si>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</si>
  <si>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</si>
  <si>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</si>
  <si>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</si>
  <si>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California Polytechnic State University</t>
  </si>
  <si>
    <t>Can Tho University</t>
  </si>
  <si>
    <t>Canterbury Christ Church University</t>
  </si>
  <si>
    <t>Chang Jung Christian University</t>
  </si>
  <si>
    <t>Chitkara University</t>
  </si>
  <si>
    <t>Cukurova University</t>
  </si>
  <si>
    <t>Damascus University</t>
  </si>
  <si>
    <t>Syrian Arab Republic</t>
  </si>
  <si>
    <t>Delta University for Science &amp; Technology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</si>
  <si>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</si>
  <si>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</si>
  <si>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</si>
  <si>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</si>
  <si>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</si>
  <si>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</si>
  <si>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</si>
  <si>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</si>
  <si>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</si>
  <si>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</si>
  <si>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</si>
  <si>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</si>
  <si>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</si>
  <si>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Dominican Republic</t>
  </si>
  <si>
    <t>International Christian University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</si>
  <si>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</si>
  <si>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</si>
  <si>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</si>
  <si>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</si>
  <si>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</si>
  <si>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</si>
  <si>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</si>
  <si>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</si>
  <si>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</si>
  <si>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</si>
  <si>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</si>
  <si>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</si>
  <si>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</si>
  <si>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</si>
  <si>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</si>
  <si>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</si>
  <si>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</si>
  <si>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</si>
  <si>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</si>
  <si>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</si>
  <si>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</si>
  <si>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</si>
  <si>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</si>
  <si>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</si>
  <si>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</si>
  <si>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</si>
  <si>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</si>
  <si>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</si>
  <si>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</si>
  <si>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</si>
  <si>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</si>
  <si>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</si>
  <si>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</si>
  <si>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</si>
  <si>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</si>
  <si>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</si>
  <si>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</si>
  <si>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</si>
  <si>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</si>
  <si>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</si>
  <si>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</si>
  <si>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</si>
  <si>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</si>
  <si>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</si>
  <si>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</si>
  <si>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</si>
  <si>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</si>
  <si>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</si>
  <si>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</si>
  <si>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</si>
  <si>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</si>
  <si>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</si>
  <si>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</si>
  <si>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</si>
  <si>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</si>
  <si>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</si>
  <si>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</si>
  <si>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</si>
  <si>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</si>
  <si>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</si>
  <si>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</si>
  <si>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</si>
  <si>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</si>
  <si>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</si>
  <si>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</si>
  <si>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</si>
  <si>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</si>
  <si>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</si>
  <si>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</si>
  <si>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</si>
  <si>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</si>
  <si>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</si>
  <si>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</si>
  <si>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</si>
  <si>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</si>
  <si>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</si>
  <si>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</si>
  <si>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</si>
  <si>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</si>
  <si>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</si>
  <si>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</si>
  <si>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</si>
  <si>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</si>
  <si>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</si>
  <si>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</si>
  <si>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</si>
  <si>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</si>
  <si>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</si>
  <si>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</si>
  <si>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</si>
  <si>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Guatemala</t>
  </si>
  <si>
    <t>Universidad Industrial de Santander</t>
  </si>
  <si>
    <t>Universidad Jesuita de Guadalajara - ITESO</t>
  </si>
  <si>
    <t>Universidad Nacional Costa Rica</t>
  </si>
  <si>
    <t>Universidad Nacional de Asunción</t>
  </si>
  <si>
    <t>Paraguay</t>
  </si>
  <si>
    <t>Universidad Nacional de Cuyo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</si>
  <si>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</si>
  <si>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</si>
  <si>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</si>
  <si>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</si>
  <si>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</si>
  <si>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</si>
  <si>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Panama</t>
  </si>
  <si>
    <t>Universidad Tecnológica Nacional (UTN)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</si>
  <si>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</si>
  <si>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</si>
  <si>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</si>
  <si>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</si>
  <si>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</si>
  <si>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</si>
  <si>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</si>
  <si>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</si>
  <si>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</si>
  <si>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</si>
  <si>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</si>
  <si>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</si>
  <si>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</si>
  <si>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</si>
  <si>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</si>
  <si>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</si>
  <si>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</si>
  <si>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</si>
  <si>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</si>
  <si>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</si>
  <si>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Morocco</t>
  </si>
  <si>
    <t>Université Jean Moulin Lyon 3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</si>
  <si>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</si>
  <si>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</si>
  <si>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</si>
  <si>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</si>
  <si>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</si>
  <si>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</si>
  <si>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</si>
  <si>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</si>
  <si>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</si>
  <si>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</si>
  <si>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</si>
  <si>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</si>
  <si>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Sudan</t>
  </si>
  <si>
    <t>University of Kufa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</si>
  <si>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</si>
  <si>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</si>
  <si>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</si>
  <si>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</si>
  <si>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</si>
  <si>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</si>
  <si>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</si>
  <si>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</si>
  <si>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</si>
  <si>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</si>
  <si>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</si>
  <si>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</si>
  <si>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</si>
  <si>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</si>
  <si>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</si>
  <si>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</si>
  <si>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</si>
  <si>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Bosnia and Herzegovina</t>
  </si>
  <si>
    <t>University of Silesia in Katowice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</si>
  <si>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</si>
  <si>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</si>
  <si>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</si>
  <si>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</si>
  <si>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</si>
  <si>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</si>
  <si>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</si>
  <si>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</si>
  <si>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</si>
  <si>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</si>
  <si>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</si>
  <si>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</si>
  <si>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</si>
  <si>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</si>
  <si>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</si>
  <si>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</si>
  <si>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</si>
  <si>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</si>
  <si>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</si>
  <si>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</si>
  <si>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</si>
  <si>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</si>
  <si>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</si>
  <si>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</si>
  <si>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</si>
  <si>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</si>
  <si>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</si>
  <si>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</si>
  <si>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</si>
  <si>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</si>
  <si>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</si>
  <si>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</si>
  <si>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</si>
  <si>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</si>
  <si>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</si>
  <si>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</si>
  <si>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</si>
  <si>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</si>
  <si>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</si>
  <si>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</si>
  <si>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</si>
  <si>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</si>
  <si>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</si>
  <si>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</si>
  <si>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</si>
  <si>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</si>
  <si>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</si>
  <si>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</si>
  <si>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</si>
  <si>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</si>
  <si>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</si>
  <si>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</si>
  <si>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</si>
  <si>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</si>
  <si>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</si>
  <si>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</si>
  <si>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</si>
  <si>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</si>
  <si>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</si>
  <si>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</si>
  <si>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</si>
  <si>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</si>
  <si>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</si>
  <si>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</si>
  <si>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</si>
  <si>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</si>
  <si>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</si>
  <si>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</si>
  <si>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</si>
  <si>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</si>
  <si>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</si>
  <si>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</si>
  <si>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</si>
  <si>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</si>
  <si>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</si>
  <si>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</si>
  <si>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</si>
  <si>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</si>
  <si>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</si>
  <si>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</si>
  <si>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</si>
  <si>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</si>
  <si>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</si>
  <si>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</si>
  <si>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</si>
  <si>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Honduras</t>
  </si>
  <si>
    <t>Universidade Federal de Uberlândia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</si>
  <si>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</si>
  <si>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</si>
  <si>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</si>
  <si>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</si>
  <si>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</si>
  <si>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</si>
  <si>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</si>
  <si>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</si>
  <si>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</si>
  <si>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</si>
  <si>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</si>
  <si>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</si>
  <si>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</si>
  <si>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</si>
  <si>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Libya</t>
  </si>
  <si>
    <t>University of West Bohemia</t>
  </si>
  <si>
    <t>Voronezh State University</t>
  </si>
  <si>
    <t>Walailak University</t>
  </si>
  <si>
    <t>Yamaguchi University</t>
  </si>
  <si>
    <t>Youngsan University</t>
  </si>
  <si>
    <t>LOCATION</t>
  </si>
  <si>
    <t xml:space="preserve">Universidad Tecnológica Centroamericana (UNITEC) </t>
  </si>
  <si>
    <t>Shakarim University of the City of Semey</t>
  </si>
  <si>
    <t>Universidad de Los 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</si>
</sst>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3" borderId="3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left" vertical="center"/>
    </xf>
    <xf numFmtId="0" fontId="0" fillId="3" borderId="3" xfId="0" applyFill="1" applyBorder="1"/>
    <xf numFmtId="0" fontId="0" fillId="0" borderId="3" xfId="0" applyBorder="1"/>
    <xf numFmtId="0" fontId="1" fillId="0" borderId="0" xfId="0" applyFont="1" applyAlignment="1">
      <alignment vertical="center" wrapText="1"/>
    </xf>
    <xf numFmtId="0" fontId="0" fillId="4" borderId="3" xfId="0" applyFill="1" applyBorder="1" applyAlignment="1">
      <alignment vertical="center"/>
    </xf>
    <xf numFmtId="1" fontId="0" fillId="3" borderId="3" xfId="0" applyNumberFormat="1" applyFill="1" applyBorder="1" applyAlignment="1">
      <alignment horizontal="center"/>
    </xf>
    <xf numFmtId="0" fontId="3" fillId="5" borderId="4" xfId="0" applyFont="1" applyFill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 wrapText="1"/>
    </xf>
    <xf numFmtId="0" fontId="0" fillId="4" borderId="2" xfId="0" applyFill="1" applyBorder="1" applyAlignment="1">
      <alignment horizontal="left" vertical="center"/>
    </xf>
    <xf numFmtId="0" fontId="0" fillId="0" borderId="2" xfId="0" applyBorder="1"/>
    <xf numFmtId="0" fontId="0" fillId="4" borderId="0" xfId="0" applyFill="1" applyBorder="1" applyAlignment="1">
      <alignment horizontal="left" vertical="center"/>
    </xf>
    <xf numFmtId="0" fontId="0" fillId="3" borderId="2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211</xdr:row>
      <xdr:rowOff>0</xdr:rowOff>
    </xdr:from>
    <xdr:to>
      <xdr:col>0</xdr:col>
      <xdr:colOff>304800</xdr:colOff>
      <xdr:row>212</xdr:row>
      <xdr:rowOff>119743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6BAE337-035F-4B15-8FA8-66556DAF8D3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304800</xdr:colOff>
      <xdr:row>214</xdr:row>
      <xdr:rowOff>119742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9EF6194-31FC-48AF-B231-A47447C362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304800</xdr:colOff>
      <xdr:row>216</xdr:row>
      <xdr:rowOff>119743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985B9033-90CA-48B1-89EE-A0BCF3941A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304800</xdr:colOff>
      <xdr:row>218</xdr:row>
      <xdr:rowOff>119743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C3D8E33F-AA3A-4D82-B353-9479386D6DD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304800</xdr:colOff>
      <xdr:row>220</xdr:row>
      <xdr:rowOff>119743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F0E9236A-BADB-40BF-BF8F-0F21E59240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304800</xdr:colOff>
      <xdr:row>222</xdr:row>
      <xdr:rowOff>119743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7AEE6691-E929-4C96-9DAA-D364969A6226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304800</xdr:colOff>
      <xdr:row>224</xdr:row>
      <xdr:rowOff>119744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C0549F90-04E1-4BDE-879F-A9B94565B54E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304800</xdr:colOff>
      <xdr:row>226</xdr:row>
      <xdr:rowOff>119743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6003DADB-30BD-42D7-A4B7-1C2239BA76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304800</xdr:colOff>
      <xdr:row>228</xdr:row>
      <xdr:rowOff>119742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1E6767C1-7419-462B-8761-3827CB0D8E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304800</xdr:colOff>
      <xdr:row>230</xdr:row>
      <xdr:rowOff>119743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1EEE2780-6799-4A4E-B51F-7383C7620A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304800</xdr:colOff>
      <xdr:row>232</xdr:row>
      <xdr:rowOff>119743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72211A80-BB07-4B4F-A4D2-6134B31A93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304800</xdr:colOff>
      <xdr:row>234</xdr:row>
      <xdr:rowOff>119743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87EF1B02-F436-4678-8B3A-FCF3064DA5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304800</xdr:colOff>
      <xdr:row>236</xdr:row>
      <xdr:rowOff>119743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AF6C17B5-3C28-485F-B396-CEBD73F59B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028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304800</xdr:colOff>
      <xdr:row>238</xdr:row>
      <xdr:rowOff>119743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E5946D57-E87E-45C8-92CF-495981B1D1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304800</xdr:colOff>
      <xdr:row>240</xdr:row>
      <xdr:rowOff>119743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DCE20016-0F9A-4AAA-B622-E54FF8516AD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304800</xdr:colOff>
      <xdr:row>242</xdr:row>
      <xdr:rowOff>119742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3B379113-223D-4054-9614-BA986DBEC1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304800</xdr:colOff>
      <xdr:row>244</xdr:row>
      <xdr:rowOff>119743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B4F32129-2A17-4D99-B54A-D4F67A1D5B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304800</xdr:colOff>
      <xdr:row>246</xdr:row>
      <xdr:rowOff>119743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18C557BC-267E-4FAE-8C41-82638060C94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304800</xdr:colOff>
      <xdr:row>248</xdr:row>
      <xdr:rowOff>119743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39E555DD-5EC4-4844-A21F-9F40578C518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304800</xdr:colOff>
      <xdr:row>250</xdr:row>
      <xdr:rowOff>119743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120FDB76-4B96-46E7-8598-C0E4F0DBD8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119743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E0DD0E5D-068C-4601-AA5A-19050935C9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304800</xdr:colOff>
      <xdr:row>254</xdr:row>
      <xdr:rowOff>119743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D4C19DC3-0095-4CAD-8975-DC24961C2AD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119742</xdr:rowOff>
    </xdr:to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33560E7E-3597-4A03-A131-68C00CAC9F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304800</xdr:colOff>
      <xdr:row>258</xdr:row>
      <xdr:rowOff>119743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2E97E3DE-6089-4253-A239-214BCB37CE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304800</xdr:colOff>
      <xdr:row>260</xdr:row>
      <xdr:rowOff>119743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1125654F-6CAA-47FD-AE4B-AE105E37BFE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304800</xdr:colOff>
      <xdr:row>262</xdr:row>
      <xdr:rowOff>119743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BFEB5534-0FDA-449C-8F96-09F1704DA2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304800</xdr:colOff>
      <xdr:row>264</xdr:row>
      <xdr:rowOff>119743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F14DF623-DA70-4B3C-96C0-6AE39A761B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304800</xdr:colOff>
      <xdr:row>266</xdr:row>
      <xdr:rowOff>119744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110BECD5-5DED-4CC1-88C7-77CE60F30E6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304800</xdr:colOff>
      <xdr:row>268</xdr:row>
      <xdr:rowOff>119743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0E5DB06F-E8AE-49B7-8820-CCD0E8F45F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304800</xdr:colOff>
      <xdr:row>270</xdr:row>
      <xdr:rowOff>119742</xdr:rowOff>
    </xdr:to>
    <xdr:sp macro="" textlink="">
      <xdr:nvSpPr>
        <xdr:cNvPr id="31" name="AutoShape 30">
          <a:extLst>
            <a:ext uri="{FF2B5EF4-FFF2-40B4-BE49-F238E27FC236}">
              <a16:creationId xmlns:a16="http://schemas.microsoft.com/office/drawing/2014/main" id="{2BAF9C95-0BEC-43AF-A697-747EA32642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304800</xdr:colOff>
      <xdr:row>273</xdr:row>
      <xdr:rowOff>119743</xdr:rowOff>
    </xdr:to>
    <xdr:sp macro="" textlink="">
      <xdr:nvSpPr>
        <xdr:cNvPr id="32" name="AutoShape 31">
          <a:extLst>
            <a:ext uri="{FF2B5EF4-FFF2-40B4-BE49-F238E27FC236}">
              <a16:creationId xmlns:a16="http://schemas.microsoft.com/office/drawing/2014/main" id="{DB79A0D5-AF98-4287-903F-FECFEA769E1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053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304800</xdr:colOff>
      <xdr:row>275</xdr:row>
      <xdr:rowOff>119743</xdr:rowOff>
    </xdr:to>
    <xdr:sp macro="" textlink="">
      <xdr:nvSpPr>
        <xdr:cNvPr id="33" name="AutoShape 32">
          <a:extLst>
            <a:ext uri="{FF2B5EF4-FFF2-40B4-BE49-F238E27FC236}">
              <a16:creationId xmlns:a16="http://schemas.microsoft.com/office/drawing/2014/main" id="{827C9CDC-3813-4C4D-A371-7F2FCB61EC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164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304800</xdr:colOff>
      <xdr:row>277</xdr:row>
      <xdr:rowOff>119742</xdr:rowOff>
    </xdr:to>
    <xdr:sp macro="" textlink="">
      <xdr:nvSpPr>
        <xdr:cNvPr id="34" name="AutoShape 33">
          <a:extLst>
            <a:ext uri="{FF2B5EF4-FFF2-40B4-BE49-F238E27FC236}">
              <a16:creationId xmlns:a16="http://schemas.microsoft.com/office/drawing/2014/main" id="{6074ACD3-D6BD-4245-A081-0ACA358686D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904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304800</xdr:colOff>
      <xdr:row>279</xdr:row>
      <xdr:rowOff>119743</xdr:rowOff>
    </xdr:to>
    <xdr:sp macro="" textlink="">
      <xdr:nvSpPr>
        <xdr:cNvPr id="35" name="AutoShape 34">
          <a:extLst>
            <a:ext uri="{FF2B5EF4-FFF2-40B4-BE49-F238E27FC236}">
              <a16:creationId xmlns:a16="http://schemas.microsoft.com/office/drawing/2014/main" id="{C59EFBD3-CEC0-48D4-9AAE-BFAB6B3270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014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119744</xdr:rowOff>
    </xdr:to>
    <xdr:sp macro="" textlink="">
      <xdr:nvSpPr>
        <xdr:cNvPr id="36" name="AutoShape 35">
          <a:extLst>
            <a:ext uri="{FF2B5EF4-FFF2-40B4-BE49-F238E27FC236}">
              <a16:creationId xmlns:a16="http://schemas.microsoft.com/office/drawing/2014/main" id="{52801B29-8A81-4859-A54A-459DB1E5B86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755114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304800</xdr:colOff>
      <xdr:row>283</xdr:row>
      <xdr:rowOff>119743</xdr:rowOff>
    </xdr:to>
    <xdr:sp macro="" textlink="">
      <xdr:nvSpPr>
        <xdr:cNvPr id="37" name="AutoShape 36">
          <a:extLst>
            <a:ext uri="{FF2B5EF4-FFF2-40B4-BE49-F238E27FC236}">
              <a16:creationId xmlns:a16="http://schemas.microsoft.com/office/drawing/2014/main" id="{C557AD64-D91B-425B-9E25-408583239F5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865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304800</xdr:colOff>
      <xdr:row>285</xdr:row>
      <xdr:rowOff>119743</xdr:rowOff>
    </xdr:to>
    <xdr:sp macro="" textlink="">
      <xdr:nvSpPr>
        <xdr:cNvPr id="38" name="AutoShape 37">
          <a:extLst>
            <a:ext uri="{FF2B5EF4-FFF2-40B4-BE49-F238E27FC236}">
              <a16:creationId xmlns:a16="http://schemas.microsoft.com/office/drawing/2014/main" id="{4C05818A-0847-46F4-907D-A3CF322E9E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605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304800</xdr:colOff>
      <xdr:row>287</xdr:row>
      <xdr:rowOff>119743</xdr:rowOff>
    </xdr:to>
    <xdr:sp macro="" textlink="">
      <xdr:nvSpPr>
        <xdr:cNvPr id="39" name="AutoShape 38">
          <a:extLst>
            <a:ext uri="{FF2B5EF4-FFF2-40B4-BE49-F238E27FC236}">
              <a16:creationId xmlns:a16="http://schemas.microsoft.com/office/drawing/2014/main" id="{F171BC09-9916-4AC1-9276-BB1156E1AE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530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304800</xdr:colOff>
      <xdr:row>289</xdr:row>
      <xdr:rowOff>119743</xdr:rowOff>
    </xdr:to>
    <xdr:sp macro="" textlink="">
      <xdr:nvSpPr>
        <xdr:cNvPr id="40" name="AutoShape 39">
          <a:extLst>
            <a:ext uri="{FF2B5EF4-FFF2-40B4-BE49-F238E27FC236}">
              <a16:creationId xmlns:a16="http://schemas.microsoft.com/office/drawing/2014/main" id="{7F4B55E8-F570-47D8-8D76-3B8ACFCB583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086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119743</xdr:rowOff>
    </xdr:to>
    <xdr:sp macro="" textlink="">
      <xdr:nvSpPr>
        <xdr:cNvPr id="41" name="AutoShape 40">
          <a:extLst>
            <a:ext uri="{FF2B5EF4-FFF2-40B4-BE49-F238E27FC236}">
              <a16:creationId xmlns:a16="http://schemas.microsoft.com/office/drawing/2014/main" id="{8496BDBF-BEAA-4E0B-A46C-B818E2DD97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641314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304800</xdr:colOff>
      <xdr:row>293</xdr:row>
      <xdr:rowOff>119743</xdr:rowOff>
    </xdr:to>
    <xdr:sp macro="" textlink="">
      <xdr:nvSpPr>
        <xdr:cNvPr id="42" name="AutoShape 41">
          <a:extLst>
            <a:ext uri="{FF2B5EF4-FFF2-40B4-BE49-F238E27FC236}">
              <a16:creationId xmlns:a16="http://schemas.microsoft.com/office/drawing/2014/main" id="{83EC20B3-5AD3-439A-8C13-1533EC6F31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196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304800</xdr:colOff>
      <xdr:row>295</xdr:row>
      <xdr:rowOff>119743</xdr:rowOff>
    </xdr:to>
    <xdr:sp macro="" textlink="">
      <xdr:nvSpPr>
        <xdr:cNvPr id="43" name="AutoShape 42">
          <a:extLst>
            <a:ext uri="{FF2B5EF4-FFF2-40B4-BE49-F238E27FC236}">
              <a16:creationId xmlns:a16="http://schemas.microsoft.com/office/drawing/2014/main" id="{3194DC82-A0D7-48A2-908F-D2DF86EF1E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751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304800</xdr:colOff>
      <xdr:row>297</xdr:row>
      <xdr:rowOff>119743</xdr:rowOff>
    </xdr:to>
    <xdr:sp macro="" textlink="">
      <xdr:nvSpPr>
        <xdr:cNvPr id="44" name="AutoShape 43">
          <a:extLst>
            <a:ext uri="{FF2B5EF4-FFF2-40B4-BE49-F238E27FC236}">
              <a16:creationId xmlns:a16="http://schemas.microsoft.com/office/drawing/2014/main" id="{A92DD57D-10E4-4ED3-A2EB-01193958187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676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304800</xdr:colOff>
      <xdr:row>299</xdr:row>
      <xdr:rowOff>119743</xdr:rowOff>
    </xdr:to>
    <xdr:sp macro="" textlink="">
      <xdr:nvSpPr>
        <xdr:cNvPr id="45" name="AutoShape 44">
          <a:extLst>
            <a:ext uri="{FF2B5EF4-FFF2-40B4-BE49-F238E27FC236}">
              <a16:creationId xmlns:a16="http://schemas.microsoft.com/office/drawing/2014/main" id="{AF58B23B-3B68-4E64-9B91-CDAAD8616B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602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304800</xdr:colOff>
      <xdr:row>301</xdr:row>
      <xdr:rowOff>119744</xdr:rowOff>
    </xdr:to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CF17B93F-456F-4542-A202-7C88E0A6978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527514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304800</xdr:colOff>
      <xdr:row>303</xdr:row>
      <xdr:rowOff>119743</xdr:rowOff>
    </xdr:to>
    <xdr:sp macro="" textlink="">
      <xdr:nvSpPr>
        <xdr:cNvPr id="47" name="AutoShape 46">
          <a:extLst>
            <a:ext uri="{FF2B5EF4-FFF2-40B4-BE49-F238E27FC236}">
              <a16:creationId xmlns:a16="http://schemas.microsoft.com/office/drawing/2014/main" id="{77F0495C-5CB2-493E-850E-57B6396100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4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304800</xdr:colOff>
      <xdr:row>305</xdr:row>
      <xdr:rowOff>119742</xdr:rowOff>
    </xdr:to>
    <xdr:sp macro="" textlink="">
      <xdr:nvSpPr>
        <xdr:cNvPr id="48" name="AutoShape 47">
          <a:extLst>
            <a:ext uri="{FF2B5EF4-FFF2-40B4-BE49-F238E27FC236}">
              <a16:creationId xmlns:a16="http://schemas.microsoft.com/office/drawing/2014/main" id="{8BDBE5D0-6A9E-4E97-AEF5-46DD265733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304800</xdr:colOff>
      <xdr:row>307</xdr:row>
      <xdr:rowOff>119743</xdr:rowOff>
    </xdr:to>
    <xdr:sp macro="" textlink="">
      <xdr:nvSpPr>
        <xdr:cNvPr id="49" name="AutoShape 48">
          <a:extLst>
            <a:ext uri="{FF2B5EF4-FFF2-40B4-BE49-F238E27FC236}">
              <a16:creationId xmlns:a16="http://schemas.microsoft.com/office/drawing/2014/main" id="{6801574B-12C2-4BD4-A2E0-C50BC1EF02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303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304800</xdr:colOff>
      <xdr:row>309</xdr:row>
      <xdr:rowOff>119743</xdr:rowOff>
    </xdr:to>
    <xdr:sp macro="" textlink="">
      <xdr:nvSpPr>
        <xdr:cNvPr id="50" name="AutoShape 49">
          <a:extLst>
            <a:ext uri="{FF2B5EF4-FFF2-40B4-BE49-F238E27FC236}">
              <a16:creationId xmlns:a16="http://schemas.microsoft.com/office/drawing/2014/main" id="{F0FCD3FD-60C8-4A72-8FC0-54B75220D8A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0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119743</xdr:rowOff>
    </xdr:to>
    <xdr:sp macro="" textlink="">
      <xdr:nvSpPr>
        <xdr:cNvPr id="51" name="AutoShape 50">
          <a:extLst>
            <a:ext uri="{FF2B5EF4-FFF2-40B4-BE49-F238E27FC236}">
              <a16:creationId xmlns:a16="http://schemas.microsoft.com/office/drawing/2014/main" id="{7FA71C7B-0F32-4977-B14C-24762ACE71C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709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974271</xdr:colOff>
      <xdr:row>10</xdr:row>
      <xdr:rowOff>119744</xdr:rowOff>
    </xdr:from>
    <xdr:to>
      <xdr:col>0</xdr:col>
      <xdr:colOff>1279071</xdr:colOff>
      <xdr:row>13</xdr:row>
      <xdr:rowOff>54428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617B952-5D11-4D19-96B8-E431B2AD7BF5}"/>
            </a:ext>
          </a:extLst>
        </xdr:cNvPr>
        <xdr:cNvSpPr>
          <a:spLocks noChangeAspect="1" noChangeArrowheads="1"/>
        </xdr:cNvSpPr>
      </xdr:nvSpPr>
      <xdr:spPr bwMode="auto">
        <a:xfrm>
          <a:off x="1627414" y="1970315"/>
          <a:ext cx="304800" cy="489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353785</xdr:rowOff>
    </xdr:from>
    <xdr:to>
      <xdr:col>0</xdr:col>
      <xdr:colOff>304800</xdr:colOff>
      <xdr:row>4</xdr:row>
      <xdr:rowOff>119741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CEAA4D2-9E79-4129-A95A-C9CD8E983B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4014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5</xdr:row>
      <xdr:rowOff>119742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E0791766-7073-47F2-8943-8AC77C4FDA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6</xdr:row>
      <xdr:rowOff>119744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D0178284-DC36-47EC-9428-88B555232C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7</xdr:row>
      <xdr:rowOff>119743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31210036-9934-43FA-A7BA-EF0E4BBD16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119743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B1847A3-54BA-4E74-A8C9-A06B1938BF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9</xdr:row>
      <xdr:rowOff>119743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215B6900-C57E-4EC4-BFF9-3E406BFCDB72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10</xdr:row>
      <xdr:rowOff>119742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E0AA9CE-446A-45C8-849A-1D013D0509B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11</xdr:row>
      <xdr:rowOff>119743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237A7A7A-89E6-43E9-9FD6-5C539CBEAF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12</xdr:row>
      <xdr:rowOff>119742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AB7BC95A-DB56-45E0-8F6A-EA6623D98C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13</xdr:row>
      <xdr:rowOff>119743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EA8B21C7-81D1-4AB4-9EA5-CFDD73BB98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14</xdr:row>
      <xdr:rowOff>119743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448FF6E9-BF59-4D04-B32A-0DAF139E746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119743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70B38685-E0CC-4B2A-8AAC-E8109B28A4A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119745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05352021-3697-4CCE-82F3-A5F1ADEE5E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119742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991A6381-3A72-4021-A023-1BC77F29A4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18</xdr:row>
      <xdr:rowOff>119742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9BD7D26A-CE28-4141-81BE-EB2B85DE56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19</xdr:row>
      <xdr:rowOff>119743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D466629C-F393-46DE-ACD7-52AE069C32E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20</xdr:row>
      <xdr:rowOff>119744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01522BA5-C8B4-4555-9E91-5EC6AE9BA6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21</xdr:row>
      <xdr:rowOff>119744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7CD96741-C23D-448C-AEA1-CB378A05EC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22</xdr:row>
      <xdr:rowOff>119743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E5FEDB77-38A1-4729-910A-823612CBBB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119745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79B6B930-FAD8-43C8-AA7B-31075325BB9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908957</xdr:rowOff>
    </xdr:from>
    <xdr:to>
      <xdr:col>0</xdr:col>
      <xdr:colOff>304800</xdr:colOff>
      <xdr:row>24</xdr:row>
      <xdr:rowOff>119743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58D99A5E-DF84-4100-A30C-EA2A54830C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49157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119743</xdr:rowOff>
    </xdr:to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0B6D2454-F1E4-425A-9CCF-569F95676D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27</xdr:row>
      <xdr:rowOff>119742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7A217285-591F-4901-ADCB-B03D904D3E1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27</xdr:row>
      <xdr:rowOff>119743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A0AD141F-18BE-49B1-9770-1E2E857B42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28</xdr:row>
      <xdr:rowOff>119743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DF77915F-4AF3-4D4D-AECA-F2A41312970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29</xdr:row>
      <xdr:rowOff>119743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BF0FB23E-3CC3-43FB-A36F-14E06A5ECA6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30</xdr:row>
      <xdr:rowOff>119743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D9280B74-FE62-4979-889E-E98EB9ADDA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31</xdr:row>
      <xdr:rowOff>119742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DE0445BF-EF9F-4B23-80CC-89EA0836E3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32</xdr:row>
      <xdr:rowOff>119742</xdr:rowOff>
    </xdr:to>
    <xdr:sp macro="" textlink="">
      <xdr:nvSpPr>
        <xdr:cNvPr id="31" name="AutoShape 30">
          <a:extLst>
            <a:ext uri="{FF2B5EF4-FFF2-40B4-BE49-F238E27FC236}">
              <a16:creationId xmlns:a16="http://schemas.microsoft.com/office/drawing/2014/main" id="{39DFD238-2049-4F78-B734-B3B060E291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9</xdr:row>
      <xdr:rowOff>119742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A2AFD29-169D-40C5-B20A-FB0DF514D9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"/>
          <a:ext cx="304800" cy="489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353785</xdr:rowOff>
    </xdr:from>
    <xdr:to>
      <xdr:col>0</xdr:col>
      <xdr:colOff>304800</xdr:colOff>
      <xdr:row>10</xdr:row>
      <xdr:rowOff>119742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A1858A2-81FD-4C4D-BE1A-91997DC92B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3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29</xdr:row>
      <xdr:rowOff>119743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860E4E4D-F342-4340-8D35-6395B7E6B70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32</xdr:row>
      <xdr:rowOff>119743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D27B179B-D902-4D47-BBC8-42D1AABCDF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489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98</xdr:row>
      <xdr:rowOff>119743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A1FD6D4C-6D51-409B-851C-105F581F46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6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119742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21237B8B-5975-4F3F-8C20-5315AB2B79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12</xdr:row>
      <xdr:rowOff>119742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55181271-3FBF-427C-947F-8A29F05B9C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38</xdr:row>
      <xdr:rowOff>119743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ADEC9550-4BD3-4587-929D-68FE6364562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489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36</xdr:row>
      <xdr:rowOff>119744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F4A00723-D6FE-43F1-B7DA-8427A09868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489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98</xdr:row>
      <xdr:rowOff>119742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CCC6CFD7-007C-4138-9B67-EB2C66CE3B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98</xdr:row>
      <xdr:rowOff>119743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A7824185-0413-4D80-9C30-5643CBFD339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9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11</xdr:row>
      <xdr:rowOff>119742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6AA5A23E-654A-4921-9551-7B2598CE92E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119743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68F3E046-F679-4D7E-BEED-C32C703CD43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119745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29EBF3AB-1360-4179-B22D-5DD7A920D9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119742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49A16CDD-3804-499D-B3DE-E1C9582D19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99</xdr:row>
      <xdr:rowOff>119743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177E8E61-1C9F-4BFA-AE1A-04731C4B0F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100</xdr:row>
      <xdr:rowOff>119743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6765B1B3-5A0B-4251-9CCC-E634176CBE4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489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101</xdr:row>
      <xdr:rowOff>119744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A6AF593C-C03B-4094-B758-9D927D91D34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31029"/>
          <a:ext cx="304800" cy="489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102</xdr:row>
      <xdr:rowOff>119743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81AED86B-FBE3-43F5-A9EA-97E1EB50822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489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103</xdr:row>
      <xdr:rowOff>119742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2CBB45FF-ED2A-4BE3-9E11-9D6D28B560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119745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7F31757A-C2CF-450A-BE4E-BAB4557C3D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908957</xdr:rowOff>
    </xdr:from>
    <xdr:to>
      <xdr:col>0</xdr:col>
      <xdr:colOff>304800</xdr:colOff>
      <xdr:row>105</xdr:row>
      <xdr:rowOff>119744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BD0A9648-E76B-4DDA-BB40-4EEF1BE56F6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119744</xdr:rowOff>
    </xdr:to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A0085D73-03F0-415F-871F-D4B15714E4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108</xdr:row>
      <xdr:rowOff>119742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0A447CBC-1E47-44D0-BEAD-8328DACD4A3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"/>
          <a:ext cx="304800" cy="674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304800</xdr:colOff>
      <xdr:row>108</xdr:row>
      <xdr:rowOff>119743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F87DB88F-2BBE-46DF-A2BC-F0F7A5B77A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109</xdr:row>
      <xdr:rowOff>119742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E4299AFF-5F20-4B25-B324-5FF9E66FCB4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304800</xdr:colOff>
      <xdr:row>110</xdr:row>
      <xdr:rowOff>119742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2A6E8CE9-B95C-4F44-8FBE-F022E8749B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111</xdr:row>
      <xdr:rowOff>119743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482A24D7-1DC0-42C6-90C0-3CF39F70E2B8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489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112</xdr:row>
      <xdr:rowOff>119743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FADA4E0A-D0A0-4E93-A62C-46F534834C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489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8A41F-58C3-446E-AEB4-891903A8D8CF}">
  <dimension ref="A1:A216"/>
  <sheetViews>
    <sheetView topLeftCell="A170" workbookViewId="0">
      <selection activeCell="A8" sqref="A8"/>
    </sheetView>
  </sheetViews>
  <sheetFormatPr defaultRowHeight="14.6" x14ac:dyDescent="0.4"/>
  <cols>
    <col min="1" max="1" width="81.69140625" bestFit="1" customWidth="1"/>
  </cols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3" spans="1:1" x14ac:dyDescent="0.4">
      <c r="A43" t="s">
        <v>42</v>
      </c>
    </row>
    <row r="44" spans="1:1" x14ac:dyDescent="0.4">
      <c r="A44" t="s">
        <v>43</v>
      </c>
    </row>
    <row r="45" spans="1:1" x14ac:dyDescent="0.4">
      <c r="A45" t="s">
        <v>44</v>
      </c>
    </row>
    <row r="46" spans="1:1" x14ac:dyDescent="0.4">
      <c r="A46" t="s">
        <v>45</v>
      </c>
    </row>
    <row r="47" spans="1:1" x14ac:dyDescent="0.4">
      <c r="A47" t="s">
        <v>46</v>
      </c>
    </row>
    <row r="48" spans="1:1" x14ac:dyDescent="0.4">
      <c r="A48" t="s">
        <v>47</v>
      </c>
    </row>
    <row r="49" spans="1:1" x14ac:dyDescent="0.4">
      <c r="A49" t="s">
        <v>48</v>
      </c>
    </row>
    <row r="50" spans="1:1" x14ac:dyDescent="0.4">
      <c r="A50" t="s">
        <v>49</v>
      </c>
    </row>
    <row r="51" spans="1:1" x14ac:dyDescent="0.4">
      <c r="A51" t="s">
        <v>50</v>
      </c>
    </row>
    <row r="52" spans="1:1" x14ac:dyDescent="0.4">
      <c r="A52" t="s">
        <v>51</v>
      </c>
    </row>
    <row r="53" spans="1:1" x14ac:dyDescent="0.4">
      <c r="A53" t="s">
        <v>52</v>
      </c>
    </row>
    <row r="54" spans="1:1" x14ac:dyDescent="0.4">
      <c r="A54" t="s">
        <v>53</v>
      </c>
    </row>
    <row r="55" spans="1:1" x14ac:dyDescent="0.4">
      <c r="A55" t="s">
        <v>54</v>
      </c>
    </row>
    <row r="56" spans="1:1" x14ac:dyDescent="0.4">
      <c r="A56" t="s">
        <v>55</v>
      </c>
    </row>
    <row r="57" spans="1:1" x14ac:dyDescent="0.4">
      <c r="A57" t="s">
        <v>56</v>
      </c>
    </row>
    <row r="58" spans="1:1" x14ac:dyDescent="0.4">
      <c r="A58" t="s">
        <v>57</v>
      </c>
    </row>
    <row r="59" spans="1:1" x14ac:dyDescent="0.4">
      <c r="A59" t="s">
        <v>58</v>
      </c>
    </row>
    <row r="60" spans="1:1" x14ac:dyDescent="0.4">
      <c r="A60" t="s">
        <v>59</v>
      </c>
    </row>
    <row r="61" spans="1:1" x14ac:dyDescent="0.4">
      <c r="A61" t="s">
        <v>60</v>
      </c>
    </row>
    <row r="62" spans="1:1" x14ac:dyDescent="0.4">
      <c r="A62" t="s">
        <v>61</v>
      </c>
    </row>
    <row r="63" spans="1:1" x14ac:dyDescent="0.4">
      <c r="A63" t="s">
        <v>62</v>
      </c>
    </row>
    <row r="64" spans="1:1" x14ac:dyDescent="0.4">
      <c r="A64" t="s">
        <v>63</v>
      </c>
    </row>
    <row r="65" spans="1:1" x14ac:dyDescent="0.4">
      <c r="A65" t="s">
        <v>64</v>
      </c>
    </row>
    <row r="66" spans="1:1" x14ac:dyDescent="0.4">
      <c r="A66" t="s">
        <v>65</v>
      </c>
    </row>
    <row r="67" spans="1:1" x14ac:dyDescent="0.4">
      <c r="A67" t="s">
        <v>66</v>
      </c>
    </row>
    <row r="68" spans="1:1" x14ac:dyDescent="0.4">
      <c r="A68" t="s">
        <v>67</v>
      </c>
    </row>
    <row r="69" spans="1:1" x14ac:dyDescent="0.4">
      <c r="A69" t="s">
        <v>68</v>
      </c>
    </row>
    <row r="70" spans="1:1" x14ac:dyDescent="0.4">
      <c r="A70" t="s">
        <v>69</v>
      </c>
    </row>
    <row r="71" spans="1:1" x14ac:dyDescent="0.4">
      <c r="A71" t="s">
        <v>70</v>
      </c>
    </row>
    <row r="72" spans="1:1" x14ac:dyDescent="0.4">
      <c r="A72" t="s">
        <v>71</v>
      </c>
    </row>
    <row r="73" spans="1:1" x14ac:dyDescent="0.4">
      <c r="A73" t="s">
        <v>72</v>
      </c>
    </row>
    <row r="74" spans="1:1" x14ac:dyDescent="0.4">
      <c r="A74" t="s">
        <v>73</v>
      </c>
    </row>
    <row r="75" spans="1:1" x14ac:dyDescent="0.4">
      <c r="A75" t="s">
        <v>74</v>
      </c>
    </row>
    <row r="76" spans="1:1" x14ac:dyDescent="0.4">
      <c r="A76" t="s">
        <v>75</v>
      </c>
    </row>
    <row r="77" spans="1:1" x14ac:dyDescent="0.4">
      <c r="A77" t="s">
        <v>76</v>
      </c>
    </row>
    <row r="78" spans="1:1" x14ac:dyDescent="0.4">
      <c r="A78" t="s">
        <v>77</v>
      </c>
    </row>
    <row r="79" spans="1:1" x14ac:dyDescent="0.4">
      <c r="A79" t="s">
        <v>78</v>
      </c>
    </row>
    <row r="80" spans="1:1" x14ac:dyDescent="0.4">
      <c r="A80" t="s">
        <v>79</v>
      </c>
    </row>
    <row r="81" spans="1:1" x14ac:dyDescent="0.4">
      <c r="A81" t="s">
        <v>80</v>
      </c>
    </row>
    <row r="82" spans="1:1" x14ac:dyDescent="0.4">
      <c r="A82" t="s">
        <v>81</v>
      </c>
    </row>
    <row r="83" spans="1:1" x14ac:dyDescent="0.4">
      <c r="A83" t="s">
        <v>82</v>
      </c>
    </row>
    <row r="84" spans="1:1" x14ac:dyDescent="0.4">
      <c r="A84" t="s">
        <v>83</v>
      </c>
    </row>
    <row r="85" spans="1:1" x14ac:dyDescent="0.4">
      <c r="A85" t="s">
        <v>84</v>
      </c>
    </row>
    <row r="86" spans="1:1" x14ac:dyDescent="0.4">
      <c r="A86" t="s">
        <v>85</v>
      </c>
    </row>
    <row r="87" spans="1:1" x14ac:dyDescent="0.4">
      <c r="A87" t="s">
        <v>86</v>
      </c>
    </row>
    <row r="88" spans="1:1" x14ac:dyDescent="0.4">
      <c r="A88" t="s">
        <v>87</v>
      </c>
    </row>
    <row r="89" spans="1:1" x14ac:dyDescent="0.4">
      <c r="A89" t="s">
        <v>88</v>
      </c>
    </row>
    <row r="90" spans="1:1" x14ac:dyDescent="0.4">
      <c r="A90" t="s">
        <v>89</v>
      </c>
    </row>
    <row r="91" spans="1:1" x14ac:dyDescent="0.4">
      <c r="A91" t="s">
        <v>90</v>
      </c>
    </row>
    <row r="92" spans="1:1" x14ac:dyDescent="0.4">
      <c r="A92" t="s">
        <v>91</v>
      </c>
    </row>
    <row r="93" spans="1:1" x14ac:dyDescent="0.4">
      <c r="A93" t="s">
        <v>92</v>
      </c>
    </row>
    <row r="94" spans="1:1" x14ac:dyDescent="0.4">
      <c r="A94" t="s">
        <v>93</v>
      </c>
    </row>
    <row r="95" spans="1:1" x14ac:dyDescent="0.4">
      <c r="A95" t="s">
        <v>94</v>
      </c>
    </row>
    <row r="96" spans="1:1" x14ac:dyDescent="0.4">
      <c r="A96" t="s">
        <v>95</v>
      </c>
    </row>
    <row r="97" spans="1:1" x14ac:dyDescent="0.4">
      <c r="A97" t="s">
        <v>96</v>
      </c>
    </row>
    <row r="98" spans="1:1" x14ac:dyDescent="0.4">
      <c r="A98" t="s">
        <v>97</v>
      </c>
    </row>
    <row r="99" spans="1:1" x14ac:dyDescent="0.4">
      <c r="A99" t="s">
        <v>98</v>
      </c>
    </row>
    <row r="100" spans="1:1" x14ac:dyDescent="0.4">
      <c r="A100" t="s">
        <v>99</v>
      </c>
    </row>
    <row r="101" spans="1:1" x14ac:dyDescent="0.4">
      <c r="A101" t="s">
        <v>100</v>
      </c>
    </row>
    <row r="102" spans="1:1" x14ac:dyDescent="0.4">
      <c r="A102" t="s">
        <v>101</v>
      </c>
    </row>
    <row r="103" spans="1:1" x14ac:dyDescent="0.4">
      <c r="A103" t="s">
        <v>102</v>
      </c>
    </row>
    <row r="104" spans="1:1" x14ac:dyDescent="0.4">
      <c r="A104" t="s">
        <v>103</v>
      </c>
    </row>
    <row r="105" spans="1:1" x14ac:dyDescent="0.4">
      <c r="A105" t="s">
        <v>162</v>
      </c>
    </row>
    <row r="106" spans="1:1" x14ac:dyDescent="0.4">
      <c r="A106" t="s">
        <v>104</v>
      </c>
    </row>
    <row r="107" spans="1:1" x14ac:dyDescent="0.4">
      <c r="A107" t="s">
        <v>105</v>
      </c>
    </row>
    <row r="108" spans="1:1" x14ac:dyDescent="0.4">
      <c r="A108" t="s">
        <v>106</v>
      </c>
    </row>
    <row r="109" spans="1:1" x14ac:dyDescent="0.4">
      <c r="A109" t="s">
        <v>107</v>
      </c>
    </row>
    <row r="110" spans="1:1" x14ac:dyDescent="0.4">
      <c r="A110" t="s">
        <v>108</v>
      </c>
    </row>
    <row r="111" spans="1:1" x14ac:dyDescent="0.4">
      <c r="A111" t="s">
        <v>109</v>
      </c>
    </row>
    <row r="112" spans="1:1" x14ac:dyDescent="0.4">
      <c r="A112" t="s">
        <v>110</v>
      </c>
    </row>
    <row r="113" spans="1:1" x14ac:dyDescent="0.4">
      <c r="A113" t="s">
        <v>111</v>
      </c>
    </row>
    <row r="114" spans="1:1" x14ac:dyDescent="0.4">
      <c r="A114" t="s">
        <v>112</v>
      </c>
    </row>
    <row r="115" spans="1:1" x14ac:dyDescent="0.4">
      <c r="A115" t="s">
        <v>113</v>
      </c>
    </row>
    <row r="116" spans="1:1" x14ac:dyDescent="0.4">
      <c r="A116" t="s">
        <v>114</v>
      </c>
    </row>
    <row r="117" spans="1:1" x14ac:dyDescent="0.4">
      <c r="A117" t="s">
        <v>115</v>
      </c>
    </row>
    <row r="118" spans="1:1" x14ac:dyDescent="0.4">
      <c r="A118" t="s">
        <v>116</v>
      </c>
    </row>
    <row r="119" spans="1:1" x14ac:dyDescent="0.4">
      <c r="A119" t="s">
        <v>117</v>
      </c>
    </row>
    <row r="120" spans="1:1" x14ac:dyDescent="0.4">
      <c r="A120" t="s">
        <v>118</v>
      </c>
    </row>
    <row r="121" spans="1:1" x14ac:dyDescent="0.4">
      <c r="A121" t="s">
        <v>163</v>
      </c>
    </row>
    <row r="122" spans="1:1" x14ac:dyDescent="0.4">
      <c r="A122" t="s">
        <v>164</v>
      </c>
    </row>
    <row r="123" spans="1:1" x14ac:dyDescent="0.4">
      <c r="A123" t="s">
        <v>165</v>
      </c>
    </row>
    <row r="124" spans="1:1" x14ac:dyDescent="0.4">
      <c r="A124" t="s">
        <v>166</v>
      </c>
    </row>
    <row r="125" spans="1:1" x14ac:dyDescent="0.4">
      <c r="A125" t="s">
        <v>167</v>
      </c>
    </row>
    <row r="126" spans="1:1" x14ac:dyDescent="0.4">
      <c r="A126" t="s">
        <v>119</v>
      </c>
    </row>
    <row r="127" spans="1:1" x14ac:dyDescent="0.4">
      <c r="A127" t="s">
        <v>168</v>
      </c>
    </row>
    <row r="128" spans="1:1" x14ac:dyDescent="0.4">
      <c r="A128" t="s">
        <v>169</v>
      </c>
    </row>
    <row r="129" spans="1:1" x14ac:dyDescent="0.4">
      <c r="A129" t="s">
        <v>170</v>
      </c>
    </row>
    <row r="130" spans="1:1" x14ac:dyDescent="0.4">
      <c r="A130" t="s">
        <v>120</v>
      </c>
    </row>
    <row r="131" spans="1:1" x14ac:dyDescent="0.4">
      <c r="A131" t="s">
        <v>121</v>
      </c>
    </row>
    <row r="132" spans="1:1" x14ac:dyDescent="0.4">
      <c r="A132" t="s">
        <v>171</v>
      </c>
    </row>
    <row r="133" spans="1:1" x14ac:dyDescent="0.4">
      <c r="A133" t="s">
        <v>172</v>
      </c>
    </row>
    <row r="134" spans="1:1" x14ac:dyDescent="0.4">
      <c r="A134" t="s">
        <v>173</v>
      </c>
    </row>
    <row r="135" spans="1:1" x14ac:dyDescent="0.4">
      <c r="A135" t="s">
        <v>122</v>
      </c>
    </row>
    <row r="136" spans="1:1" x14ac:dyDescent="0.4">
      <c r="A136" t="s">
        <v>174</v>
      </c>
    </row>
    <row r="137" spans="1:1" x14ac:dyDescent="0.4">
      <c r="A137" t="s">
        <v>123</v>
      </c>
    </row>
    <row r="138" spans="1:1" x14ac:dyDescent="0.4">
      <c r="A138" t="s">
        <v>124</v>
      </c>
    </row>
    <row r="139" spans="1:1" x14ac:dyDescent="0.4">
      <c r="A139" t="s">
        <v>125</v>
      </c>
    </row>
    <row r="140" spans="1:1" x14ac:dyDescent="0.4">
      <c r="A140" t="s">
        <v>175</v>
      </c>
    </row>
    <row r="141" spans="1:1" x14ac:dyDescent="0.4">
      <c r="A141" t="s">
        <v>126</v>
      </c>
    </row>
    <row r="142" spans="1:1" x14ac:dyDescent="0.4">
      <c r="A142" t="s">
        <v>127</v>
      </c>
    </row>
    <row r="143" spans="1:1" x14ac:dyDescent="0.4">
      <c r="A143" t="s">
        <v>128</v>
      </c>
    </row>
    <row r="144" spans="1:1" x14ac:dyDescent="0.4">
      <c r="A144" t="s">
        <v>129</v>
      </c>
    </row>
    <row r="145" spans="1:1" x14ac:dyDescent="0.4">
      <c r="A145" t="s">
        <v>176</v>
      </c>
    </row>
    <row r="146" spans="1:1" x14ac:dyDescent="0.4">
      <c r="A146" t="s">
        <v>130</v>
      </c>
    </row>
    <row r="147" spans="1:1" x14ac:dyDescent="0.4">
      <c r="A147" t="s">
        <v>177</v>
      </c>
    </row>
    <row r="148" spans="1:1" x14ac:dyDescent="0.4">
      <c r="A148" t="s">
        <v>131</v>
      </c>
    </row>
    <row r="149" spans="1:1" x14ac:dyDescent="0.4">
      <c r="A149" t="s">
        <v>178</v>
      </c>
    </row>
    <row r="150" spans="1:1" x14ac:dyDescent="0.4">
      <c r="A150" t="s">
        <v>132</v>
      </c>
    </row>
    <row r="151" spans="1:1" x14ac:dyDescent="0.4">
      <c r="A151" t="s">
        <v>133</v>
      </c>
    </row>
    <row r="152" spans="1:1" x14ac:dyDescent="0.4">
      <c r="A152" t="s">
        <v>179</v>
      </c>
    </row>
    <row r="153" spans="1:1" x14ac:dyDescent="0.4">
      <c r="A153" t="s">
        <v>134</v>
      </c>
    </row>
    <row r="154" spans="1:1" x14ac:dyDescent="0.4">
      <c r="A154" t="s">
        <v>135</v>
      </c>
    </row>
    <row r="155" spans="1:1" x14ac:dyDescent="0.4">
      <c r="A155" t="s">
        <v>136</v>
      </c>
    </row>
    <row r="156" spans="1:1" x14ac:dyDescent="0.4">
      <c r="A156" t="s">
        <v>137</v>
      </c>
    </row>
    <row r="157" spans="1:1" x14ac:dyDescent="0.4">
      <c r="A157" t="s">
        <v>138</v>
      </c>
    </row>
    <row r="158" spans="1:1" x14ac:dyDescent="0.4">
      <c r="A158" t="s">
        <v>180</v>
      </c>
    </row>
    <row r="159" spans="1:1" x14ac:dyDescent="0.4">
      <c r="A159" t="s">
        <v>139</v>
      </c>
    </row>
    <row r="160" spans="1:1" x14ac:dyDescent="0.4">
      <c r="A160" t="s">
        <v>181</v>
      </c>
    </row>
    <row r="161" spans="1:1" x14ac:dyDescent="0.4">
      <c r="A161" t="s">
        <v>182</v>
      </c>
    </row>
    <row r="162" spans="1:1" x14ac:dyDescent="0.4">
      <c r="A162" t="s">
        <v>183</v>
      </c>
    </row>
    <row r="163" spans="1:1" x14ac:dyDescent="0.4">
      <c r="A163" t="s">
        <v>140</v>
      </c>
    </row>
    <row r="164" spans="1:1" x14ac:dyDescent="0.4">
      <c r="A164" t="s">
        <v>141</v>
      </c>
    </row>
    <row r="165" spans="1:1" x14ac:dyDescent="0.4">
      <c r="A165" t="s">
        <v>184</v>
      </c>
    </row>
    <row r="166" spans="1:1" x14ac:dyDescent="0.4">
      <c r="A166" t="s">
        <v>142</v>
      </c>
    </row>
    <row r="167" spans="1:1" x14ac:dyDescent="0.4">
      <c r="A167" t="s">
        <v>143</v>
      </c>
    </row>
    <row r="168" spans="1:1" x14ac:dyDescent="0.4">
      <c r="A168" t="s">
        <v>185</v>
      </c>
    </row>
    <row r="169" spans="1:1" x14ac:dyDescent="0.4">
      <c r="A169" t="s">
        <v>186</v>
      </c>
    </row>
    <row r="170" spans="1:1" x14ac:dyDescent="0.4">
      <c r="A170" t="s">
        <v>187</v>
      </c>
    </row>
    <row r="171" spans="1:1" x14ac:dyDescent="0.4">
      <c r="A171" t="s">
        <v>188</v>
      </c>
    </row>
    <row r="172" spans="1:1" x14ac:dyDescent="0.4">
      <c r="A172" t="s">
        <v>189</v>
      </c>
    </row>
    <row r="173" spans="1:1" x14ac:dyDescent="0.4">
      <c r="A173" t="s">
        <v>144</v>
      </c>
    </row>
    <row r="174" spans="1:1" x14ac:dyDescent="0.4">
      <c r="A174" t="s">
        <v>190</v>
      </c>
    </row>
    <row r="175" spans="1:1" x14ac:dyDescent="0.4">
      <c r="A175" t="s">
        <v>191</v>
      </c>
    </row>
    <row r="176" spans="1:1" x14ac:dyDescent="0.4">
      <c r="A176" t="s">
        <v>192</v>
      </c>
    </row>
    <row r="177" spans="1:1" x14ac:dyDescent="0.4">
      <c r="A177" t="s">
        <v>145</v>
      </c>
    </row>
    <row r="178" spans="1:1" x14ac:dyDescent="0.4">
      <c r="A178" t="s">
        <v>146</v>
      </c>
    </row>
    <row r="179" spans="1:1" x14ac:dyDescent="0.4">
      <c r="A179" t="s">
        <v>193</v>
      </c>
    </row>
    <row r="180" spans="1:1" x14ac:dyDescent="0.4">
      <c r="A180" t="s">
        <v>194</v>
      </c>
    </row>
    <row r="181" spans="1:1" x14ac:dyDescent="0.4">
      <c r="A181" t="s">
        <v>147</v>
      </c>
    </row>
    <row r="182" spans="1:1" x14ac:dyDescent="0.4">
      <c r="A182" t="s">
        <v>148</v>
      </c>
    </row>
    <row r="183" spans="1:1" x14ac:dyDescent="0.4">
      <c r="A183" t="s">
        <v>149</v>
      </c>
    </row>
    <row r="184" spans="1:1" x14ac:dyDescent="0.4">
      <c r="A184" t="s">
        <v>195</v>
      </c>
    </row>
    <row r="185" spans="1:1" x14ac:dyDescent="0.4">
      <c r="A185" t="s">
        <v>196</v>
      </c>
    </row>
    <row r="186" spans="1:1" x14ac:dyDescent="0.4">
      <c r="A186" t="s">
        <v>197</v>
      </c>
    </row>
    <row r="187" spans="1:1" x14ac:dyDescent="0.4">
      <c r="A187" t="s">
        <v>198</v>
      </c>
    </row>
    <row r="188" spans="1:1" x14ac:dyDescent="0.4">
      <c r="A188" t="s">
        <v>199</v>
      </c>
    </row>
    <row r="189" spans="1:1" x14ac:dyDescent="0.4">
      <c r="A189" t="s">
        <v>200</v>
      </c>
    </row>
    <row r="190" spans="1:1" x14ac:dyDescent="0.4">
      <c r="A190" t="s">
        <v>201</v>
      </c>
    </row>
    <row r="191" spans="1:1" x14ac:dyDescent="0.4">
      <c r="A191" t="s">
        <v>202</v>
      </c>
    </row>
    <row r="192" spans="1:1" x14ac:dyDescent="0.4">
      <c r="A192" t="s">
        <v>203</v>
      </c>
    </row>
    <row r="193" spans="1:1" x14ac:dyDescent="0.4">
      <c r="A193" t="s">
        <v>204</v>
      </c>
    </row>
    <row r="194" spans="1:1" x14ac:dyDescent="0.4">
      <c r="A194" t="s">
        <v>205</v>
      </c>
    </row>
    <row r="195" spans="1:1" x14ac:dyDescent="0.4">
      <c r="A195" t="s">
        <v>150</v>
      </c>
    </row>
    <row r="196" spans="1:1" x14ac:dyDescent="0.4">
      <c r="A196" t="s">
        <v>206</v>
      </c>
    </row>
    <row r="197" spans="1:1" x14ac:dyDescent="0.4">
      <c r="A197" t="s">
        <v>151</v>
      </c>
    </row>
    <row r="198" spans="1:1" x14ac:dyDescent="0.4">
      <c r="A198" t="s">
        <v>207</v>
      </c>
    </row>
    <row r="199" spans="1:1" x14ac:dyDescent="0.4">
      <c r="A199" t="s">
        <v>208</v>
      </c>
    </row>
    <row r="200" spans="1:1" x14ac:dyDescent="0.4">
      <c r="A200" t="s">
        <v>152</v>
      </c>
    </row>
    <row r="201" spans="1:1" x14ac:dyDescent="0.4">
      <c r="A201" t="s">
        <v>209</v>
      </c>
    </row>
    <row r="202" spans="1:1" x14ac:dyDescent="0.4">
      <c r="A202" t="s">
        <v>153</v>
      </c>
    </row>
    <row r="203" spans="1:1" x14ac:dyDescent="0.4">
      <c r="A203" t="s">
        <v>154</v>
      </c>
    </row>
    <row r="204" spans="1:1" x14ac:dyDescent="0.4">
      <c r="A204" t="s">
        <v>210</v>
      </c>
    </row>
    <row r="205" spans="1:1" x14ac:dyDescent="0.4">
      <c r="A205" t="s">
        <v>211</v>
      </c>
    </row>
    <row r="206" spans="1:1" x14ac:dyDescent="0.4">
      <c r="A206" t="s">
        <v>212</v>
      </c>
    </row>
    <row r="207" spans="1:1" x14ac:dyDescent="0.4">
      <c r="A207" t="s">
        <v>213</v>
      </c>
    </row>
    <row r="208" spans="1:1" x14ac:dyDescent="0.4">
      <c r="A208" t="s">
        <v>155</v>
      </c>
    </row>
    <row r="209" spans="1:1" x14ac:dyDescent="0.4">
      <c r="A209" t="s">
        <v>214</v>
      </c>
    </row>
    <row r="210" spans="1:1" x14ac:dyDescent="0.4">
      <c r="A210" t="s">
        <v>156</v>
      </c>
    </row>
    <row r="211" spans="1:1" x14ac:dyDescent="0.4">
      <c r="A211" t="s">
        <v>157</v>
      </c>
    </row>
    <row r="212" spans="1:1" x14ac:dyDescent="0.4">
      <c r="A212" t="s">
        <v>158</v>
      </c>
    </row>
    <row r="213" spans="1:1" x14ac:dyDescent="0.4">
      <c r="A213" t="s">
        <v>159</v>
      </c>
    </row>
    <row r="214" spans="1:1" x14ac:dyDescent="0.4">
      <c r="A214" t="s">
        <v>160</v>
      </c>
    </row>
    <row r="215" spans="1:1" x14ac:dyDescent="0.4">
      <c r="A215" t="s">
        <v>215</v>
      </c>
    </row>
    <row r="216" spans="1:1" x14ac:dyDescent="0.4">
      <c r="A216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4E53-58A7-4DB6-825C-EA11DB697D2A}">
  <dimension ref="A1:B322"/>
  <sheetViews>
    <sheetView workbookViewId="0">
      <selection activeCell="E7" sqref="E7"/>
    </sheetView>
  </sheetViews>
  <sheetFormatPr defaultRowHeight="14.6" x14ac:dyDescent="0.4"/>
  <cols>
    <col min="1" max="1" width="66.07421875" style="4" customWidth="1"/>
    <col min="2" max="16384" width="9.23046875" style="4"/>
  </cols>
  <sheetData>
    <row r="1" spans="1:2" x14ac:dyDescent="0.4">
      <c r="A1" s="2" t="s">
        <v>217</v>
      </c>
      <c r="B1" s="1">
        <v>1</v>
      </c>
    </row>
    <row r="2" spans="1:2" x14ac:dyDescent="0.4">
      <c r="A2" s="2" t="s">
        <v>216</v>
      </c>
      <c r="B2" s="1">
        <v>2</v>
      </c>
    </row>
    <row r="3" spans="1:2" x14ac:dyDescent="0.4">
      <c r="A3" s="2" t="s">
        <v>352</v>
      </c>
      <c r="B3" s="1">
        <v>3</v>
      </c>
    </row>
    <row r="4" spans="1:2" x14ac:dyDescent="0.4">
      <c r="A4" s="2" t="s">
        <v>227</v>
      </c>
      <c r="B4" s="1">
        <v>4</v>
      </c>
    </row>
    <row r="5" spans="1:2" x14ac:dyDescent="0.4">
      <c r="A5" s="2" t="s">
        <v>257</v>
      </c>
      <c r="B5" s="1">
        <v>5</v>
      </c>
    </row>
    <row r="6" spans="1:2" x14ac:dyDescent="0.4">
      <c r="A6" s="2" t="s">
        <v>219</v>
      </c>
      <c r="B6" s="1">
        <v>6</v>
      </c>
    </row>
    <row r="7" spans="1:2" x14ac:dyDescent="0.4">
      <c r="A7" s="2" t="s">
        <v>218</v>
      </c>
      <c r="B7" s="1">
        <v>7</v>
      </c>
    </row>
    <row r="8" spans="1:2" x14ac:dyDescent="0.4">
      <c r="A8" s="2" t="s">
        <v>220</v>
      </c>
      <c r="B8" s="1">
        <v>8</v>
      </c>
    </row>
    <row r="9" spans="1:2" x14ac:dyDescent="0.4">
      <c r="A9" s="2" t="s">
        <v>232</v>
      </c>
      <c r="B9" s="1">
        <v>9</v>
      </c>
    </row>
    <row r="10" spans="1:2" x14ac:dyDescent="0.4">
      <c r="A10" s="2" t="s">
        <v>353</v>
      </c>
      <c r="B10" s="1">
        <v>10</v>
      </c>
    </row>
    <row r="11" spans="1:2" x14ac:dyDescent="0.4">
      <c r="A11" s="2" t="s">
        <v>236</v>
      </c>
      <c r="B11" s="1">
        <v>11</v>
      </c>
    </row>
    <row r="12" spans="1:2" x14ac:dyDescent="0.4">
      <c r="A12" s="2" t="s">
        <v>221</v>
      </c>
      <c r="B12" s="1">
        <v>12</v>
      </c>
    </row>
    <row r="13" spans="1:2" x14ac:dyDescent="0.4">
      <c r="A13" s="2" t="s">
        <v>222</v>
      </c>
      <c r="B13" s="1">
        <v>13</v>
      </c>
    </row>
    <row r="14" spans="1:2" x14ac:dyDescent="0.4">
      <c r="A14" s="2" t="s">
        <v>246</v>
      </c>
      <c r="B14" s="1">
        <v>14</v>
      </c>
    </row>
    <row r="15" spans="1:2" x14ac:dyDescent="0.4">
      <c r="A15" s="2" t="s">
        <v>254</v>
      </c>
      <c r="B15" s="1">
        <v>15</v>
      </c>
    </row>
    <row r="16" spans="1:2" x14ac:dyDescent="0.4">
      <c r="A16" s="2" t="s">
        <v>296</v>
      </c>
      <c r="B16" s="1">
        <v>16</v>
      </c>
    </row>
    <row r="17" spans="1:2" x14ac:dyDescent="0.4">
      <c r="A17" s="2" t="s">
        <v>228</v>
      </c>
      <c r="B17" s="1">
        <v>17</v>
      </c>
    </row>
    <row r="18" spans="1:2" x14ac:dyDescent="0.4">
      <c r="A18" s="2" t="s">
        <v>225</v>
      </c>
      <c r="B18" s="1">
        <v>18</v>
      </c>
    </row>
    <row r="19" spans="1:2" x14ac:dyDescent="0.4">
      <c r="A19" s="2" t="s">
        <v>230</v>
      </c>
      <c r="B19" s="1">
        <v>19</v>
      </c>
    </row>
    <row r="20" spans="1:2" x14ac:dyDescent="0.4">
      <c r="A20" s="2" t="s">
        <v>223</v>
      </c>
      <c r="B20" s="1">
        <v>20</v>
      </c>
    </row>
    <row r="21" spans="1:2" x14ac:dyDescent="0.4">
      <c r="A21" s="2" t="s">
        <v>354</v>
      </c>
      <c r="B21" s="1">
        <v>21</v>
      </c>
    </row>
    <row r="22" spans="1:2" x14ac:dyDescent="0.4">
      <c r="A22" s="2" t="s">
        <v>229</v>
      </c>
      <c r="B22" s="1">
        <v>22</v>
      </c>
    </row>
    <row r="23" spans="1:2" x14ac:dyDescent="0.4">
      <c r="A23" s="2" t="s">
        <v>355</v>
      </c>
      <c r="B23" s="1">
        <v>23</v>
      </c>
    </row>
    <row r="24" spans="1:2" x14ac:dyDescent="0.4">
      <c r="A24" s="2" t="s">
        <v>253</v>
      </c>
      <c r="B24" s="1">
        <v>24</v>
      </c>
    </row>
    <row r="25" spans="1:2" x14ac:dyDescent="0.4">
      <c r="A25" s="2" t="s">
        <v>247</v>
      </c>
      <c r="B25" s="1">
        <v>25</v>
      </c>
    </row>
    <row r="26" spans="1:2" x14ac:dyDescent="0.4">
      <c r="A26" s="2" t="s">
        <v>313</v>
      </c>
      <c r="B26" s="1">
        <v>25</v>
      </c>
    </row>
    <row r="27" spans="1:2" x14ac:dyDescent="0.4">
      <c r="A27" s="2" t="s">
        <v>224</v>
      </c>
      <c r="B27" s="1">
        <v>27</v>
      </c>
    </row>
    <row r="28" spans="1:2" x14ac:dyDescent="0.4">
      <c r="A28" s="2" t="s">
        <v>226</v>
      </c>
      <c r="B28" s="1">
        <v>28</v>
      </c>
    </row>
    <row r="29" spans="1:2" x14ac:dyDescent="0.4">
      <c r="A29" s="2" t="s">
        <v>326</v>
      </c>
      <c r="B29" s="1">
        <v>29</v>
      </c>
    </row>
    <row r="30" spans="1:2" x14ac:dyDescent="0.4">
      <c r="A30" s="2" t="s">
        <v>307</v>
      </c>
      <c r="B30" s="1">
        <v>30</v>
      </c>
    </row>
    <row r="31" spans="1:2" x14ac:dyDescent="0.4">
      <c r="A31" s="2" t="s">
        <v>356</v>
      </c>
      <c r="B31" s="1">
        <v>31</v>
      </c>
    </row>
    <row r="32" spans="1:2" x14ac:dyDescent="0.4">
      <c r="A32" s="2" t="s">
        <v>251</v>
      </c>
      <c r="B32" s="1">
        <v>32</v>
      </c>
    </row>
    <row r="33" spans="1:2" x14ac:dyDescent="0.4">
      <c r="A33" s="2" t="s">
        <v>237</v>
      </c>
      <c r="B33" s="1">
        <v>33</v>
      </c>
    </row>
    <row r="34" spans="1:2" x14ac:dyDescent="0.4">
      <c r="A34" s="2" t="s">
        <v>256</v>
      </c>
      <c r="B34" s="1">
        <v>34</v>
      </c>
    </row>
    <row r="35" spans="1:2" x14ac:dyDescent="0.4">
      <c r="A35" s="2" t="s">
        <v>250</v>
      </c>
      <c r="B35" s="1">
        <v>35</v>
      </c>
    </row>
    <row r="36" spans="1:2" x14ac:dyDescent="0.4">
      <c r="A36" s="2" t="s">
        <v>241</v>
      </c>
      <c r="B36" s="1">
        <v>36</v>
      </c>
    </row>
    <row r="37" spans="1:2" x14ac:dyDescent="0.4">
      <c r="A37" s="2" t="s">
        <v>242</v>
      </c>
      <c r="B37" s="1">
        <v>37</v>
      </c>
    </row>
    <row r="38" spans="1:2" x14ac:dyDescent="0.4">
      <c r="A38" s="2" t="s">
        <v>244</v>
      </c>
      <c r="B38" s="1">
        <v>37</v>
      </c>
    </row>
    <row r="39" spans="1:2" x14ac:dyDescent="0.4">
      <c r="A39" s="2" t="s">
        <v>271</v>
      </c>
      <c r="B39" s="1">
        <v>39</v>
      </c>
    </row>
    <row r="40" spans="1:2" x14ac:dyDescent="0.4">
      <c r="A40" s="2" t="s">
        <v>240</v>
      </c>
      <c r="B40" s="1">
        <v>40</v>
      </c>
    </row>
    <row r="41" spans="1:2" x14ac:dyDescent="0.4">
      <c r="A41" s="2" t="s">
        <v>357</v>
      </c>
      <c r="B41" s="1">
        <v>41</v>
      </c>
    </row>
    <row r="42" spans="1:2" x14ac:dyDescent="0.4">
      <c r="A42" s="2" t="s">
        <v>284</v>
      </c>
      <c r="B42" s="1">
        <v>42</v>
      </c>
    </row>
    <row r="43" spans="1:2" x14ac:dyDescent="0.4">
      <c r="A43" s="2" t="s">
        <v>235</v>
      </c>
      <c r="B43" s="1">
        <v>42</v>
      </c>
    </row>
    <row r="44" spans="1:2" x14ac:dyDescent="0.4">
      <c r="A44" s="2" t="s">
        <v>275</v>
      </c>
      <c r="B44" s="1">
        <v>44</v>
      </c>
    </row>
    <row r="45" spans="1:2" x14ac:dyDescent="0.4">
      <c r="A45" s="2" t="s">
        <v>358</v>
      </c>
      <c r="B45" s="1">
        <v>45</v>
      </c>
    </row>
    <row r="46" spans="1:2" x14ac:dyDescent="0.4">
      <c r="A46" s="2" t="s">
        <v>268</v>
      </c>
      <c r="B46" s="1">
        <v>46</v>
      </c>
    </row>
    <row r="47" spans="1:2" x14ac:dyDescent="0.4">
      <c r="A47" s="2" t="s">
        <v>359</v>
      </c>
      <c r="B47" s="1">
        <v>47</v>
      </c>
    </row>
    <row r="48" spans="1:2" x14ac:dyDescent="0.4">
      <c r="A48" s="2" t="s">
        <v>292</v>
      </c>
      <c r="B48" s="1">
        <v>48</v>
      </c>
    </row>
    <row r="49" spans="1:2" x14ac:dyDescent="0.4">
      <c r="A49" s="2" t="s">
        <v>272</v>
      </c>
      <c r="B49" s="1">
        <v>49</v>
      </c>
    </row>
    <row r="50" spans="1:2" x14ac:dyDescent="0.4">
      <c r="A50" s="2" t="s">
        <v>258</v>
      </c>
      <c r="B50" s="1">
        <v>50</v>
      </c>
    </row>
    <row r="51" spans="1:2" x14ac:dyDescent="0.4">
      <c r="A51" s="2" t="s">
        <v>270</v>
      </c>
      <c r="B51" s="1">
        <v>51</v>
      </c>
    </row>
    <row r="52" spans="1:2" x14ac:dyDescent="0.4">
      <c r="A52" s="2" t="s">
        <v>360</v>
      </c>
      <c r="B52" s="1">
        <v>51</v>
      </c>
    </row>
    <row r="53" spans="1:2" x14ac:dyDescent="0.4">
      <c r="A53" s="2" t="s">
        <v>234</v>
      </c>
      <c r="B53" s="1">
        <v>53</v>
      </c>
    </row>
    <row r="54" spans="1:2" x14ac:dyDescent="0.4">
      <c r="A54" s="2" t="s">
        <v>252</v>
      </c>
      <c r="B54" s="1">
        <v>53</v>
      </c>
    </row>
    <row r="55" spans="1:2" x14ac:dyDescent="0.4">
      <c r="A55" s="2" t="s">
        <v>231</v>
      </c>
      <c r="B55" s="1">
        <v>55</v>
      </c>
    </row>
    <row r="56" spans="1:2" x14ac:dyDescent="0.4">
      <c r="A56" s="2" t="s">
        <v>243</v>
      </c>
      <c r="B56" s="1">
        <v>55</v>
      </c>
    </row>
    <row r="57" spans="1:2" x14ac:dyDescent="0.4">
      <c r="A57" s="2" t="s">
        <v>273</v>
      </c>
      <c r="B57" s="1">
        <v>57</v>
      </c>
    </row>
    <row r="58" spans="1:2" x14ac:dyDescent="0.4">
      <c r="A58" s="2" t="s">
        <v>263</v>
      </c>
      <c r="B58" s="1">
        <v>58</v>
      </c>
    </row>
    <row r="59" spans="1:2" x14ac:dyDescent="0.4">
      <c r="A59" s="2" t="s">
        <v>361</v>
      </c>
      <c r="B59" s="1">
        <v>59</v>
      </c>
    </row>
    <row r="60" spans="1:2" x14ac:dyDescent="0.4">
      <c r="A60" s="2" t="s">
        <v>260</v>
      </c>
      <c r="B60" s="1">
        <v>59</v>
      </c>
    </row>
    <row r="61" spans="1:2" x14ac:dyDescent="0.4">
      <c r="A61" s="2" t="s">
        <v>304</v>
      </c>
      <c r="B61" s="1">
        <v>61</v>
      </c>
    </row>
    <row r="62" spans="1:2" x14ac:dyDescent="0.4">
      <c r="A62" s="2" t="s">
        <v>387</v>
      </c>
      <c r="B62" s="1">
        <v>61</v>
      </c>
    </row>
    <row r="63" spans="1:2" x14ac:dyDescent="0.4">
      <c r="A63" s="2" t="s">
        <v>289</v>
      </c>
      <c r="B63" s="1">
        <v>63</v>
      </c>
    </row>
    <row r="64" spans="1:2" x14ac:dyDescent="0.4">
      <c r="A64" s="2" t="s">
        <v>302</v>
      </c>
      <c r="B64" s="1">
        <v>64</v>
      </c>
    </row>
    <row r="65" spans="1:2" x14ac:dyDescent="0.4">
      <c r="A65" s="2" t="s">
        <v>279</v>
      </c>
      <c r="B65" s="1">
        <v>65</v>
      </c>
    </row>
    <row r="66" spans="1:2" x14ac:dyDescent="0.4">
      <c r="A66" s="2" t="s">
        <v>248</v>
      </c>
      <c r="B66" s="1">
        <v>66</v>
      </c>
    </row>
    <row r="67" spans="1:2" x14ac:dyDescent="0.4">
      <c r="A67" s="2" t="s">
        <v>362</v>
      </c>
      <c r="B67" s="1">
        <v>66</v>
      </c>
    </row>
    <row r="68" spans="1:2" x14ac:dyDescent="0.4">
      <c r="A68" s="2" t="s">
        <v>336</v>
      </c>
      <c r="B68" s="1">
        <v>68</v>
      </c>
    </row>
    <row r="69" spans="1:2" x14ac:dyDescent="0.4">
      <c r="A69" s="2" t="s">
        <v>363</v>
      </c>
      <c r="B69" s="1">
        <v>68</v>
      </c>
    </row>
    <row r="70" spans="1:2" x14ac:dyDescent="0.4">
      <c r="A70" s="2" t="s">
        <v>261</v>
      </c>
      <c r="B70" s="1">
        <v>70</v>
      </c>
    </row>
    <row r="71" spans="1:2" x14ac:dyDescent="0.4">
      <c r="A71" s="2" t="s">
        <v>233</v>
      </c>
      <c r="B71" s="1">
        <v>70</v>
      </c>
    </row>
    <row r="72" spans="1:2" x14ac:dyDescent="0.4">
      <c r="A72" s="2" t="s">
        <v>238</v>
      </c>
      <c r="B72" s="1">
        <v>72</v>
      </c>
    </row>
    <row r="73" spans="1:2" x14ac:dyDescent="0.4">
      <c r="A73" s="2" t="s">
        <v>364</v>
      </c>
      <c r="B73" s="1">
        <v>72</v>
      </c>
    </row>
    <row r="74" spans="1:2" x14ac:dyDescent="0.4">
      <c r="A74" s="2" t="s">
        <v>287</v>
      </c>
      <c r="B74" s="1">
        <v>72</v>
      </c>
    </row>
    <row r="75" spans="1:2" x14ac:dyDescent="0.4">
      <c r="A75" s="2" t="s">
        <v>365</v>
      </c>
      <c r="B75" s="1">
        <v>75</v>
      </c>
    </row>
    <row r="76" spans="1:2" x14ac:dyDescent="0.4">
      <c r="A76" s="2" t="s">
        <v>366</v>
      </c>
      <c r="B76" s="1">
        <v>75</v>
      </c>
    </row>
    <row r="77" spans="1:2" x14ac:dyDescent="0.4">
      <c r="A77" s="2" t="s">
        <v>367</v>
      </c>
      <c r="B77" s="1">
        <v>77</v>
      </c>
    </row>
    <row r="78" spans="1:2" x14ac:dyDescent="0.4">
      <c r="A78" s="2" t="s">
        <v>283</v>
      </c>
      <c r="B78" s="1">
        <v>78</v>
      </c>
    </row>
    <row r="79" spans="1:2" x14ac:dyDescent="0.4">
      <c r="A79" s="2" t="s">
        <v>245</v>
      </c>
      <c r="B79" s="1">
        <v>79</v>
      </c>
    </row>
    <row r="80" spans="1:2" x14ac:dyDescent="0.4">
      <c r="A80" s="2" t="s">
        <v>267</v>
      </c>
      <c r="B80" s="1">
        <v>79</v>
      </c>
    </row>
    <row r="81" spans="1:2" x14ac:dyDescent="0.4">
      <c r="A81" s="2" t="s">
        <v>264</v>
      </c>
      <c r="B81" s="1">
        <v>81</v>
      </c>
    </row>
    <row r="82" spans="1:2" x14ac:dyDescent="0.4">
      <c r="A82" s="2" t="s">
        <v>282</v>
      </c>
      <c r="B82" s="1">
        <v>82</v>
      </c>
    </row>
    <row r="83" spans="1:2" x14ac:dyDescent="0.4">
      <c r="A83" s="2" t="s">
        <v>303</v>
      </c>
      <c r="B83" s="1">
        <v>83</v>
      </c>
    </row>
    <row r="84" spans="1:2" x14ac:dyDescent="0.4">
      <c r="A84" s="2" t="s">
        <v>269</v>
      </c>
      <c r="B84" s="1">
        <v>84</v>
      </c>
    </row>
    <row r="85" spans="1:2" x14ac:dyDescent="0.4">
      <c r="A85" s="2" t="s">
        <v>368</v>
      </c>
      <c r="B85" s="1">
        <v>84</v>
      </c>
    </row>
    <row r="86" spans="1:2" x14ac:dyDescent="0.4">
      <c r="A86" s="2" t="s">
        <v>286</v>
      </c>
      <c r="B86" s="1">
        <v>84</v>
      </c>
    </row>
    <row r="87" spans="1:2" x14ac:dyDescent="0.4">
      <c r="A87" s="2" t="s">
        <v>278</v>
      </c>
      <c r="B87" s="1">
        <v>87</v>
      </c>
    </row>
    <row r="88" spans="1:2" x14ac:dyDescent="0.4">
      <c r="A88" s="2" t="s">
        <v>369</v>
      </c>
      <c r="B88" s="1">
        <v>88</v>
      </c>
    </row>
    <row r="89" spans="1:2" x14ac:dyDescent="0.4">
      <c r="A89" s="2" t="s">
        <v>249</v>
      </c>
      <c r="B89" s="1">
        <v>89</v>
      </c>
    </row>
    <row r="90" spans="1:2" x14ac:dyDescent="0.4">
      <c r="A90" s="2" t="s">
        <v>370</v>
      </c>
      <c r="B90" s="1">
        <v>90</v>
      </c>
    </row>
    <row r="91" spans="1:2" x14ac:dyDescent="0.4">
      <c r="A91" s="2" t="s">
        <v>288</v>
      </c>
      <c r="B91" s="1">
        <v>91</v>
      </c>
    </row>
    <row r="92" spans="1:2" x14ac:dyDescent="0.4">
      <c r="A92" s="2" t="s">
        <v>266</v>
      </c>
      <c r="B92" s="1">
        <v>91</v>
      </c>
    </row>
    <row r="93" spans="1:2" x14ac:dyDescent="0.4">
      <c r="A93" s="2" t="s">
        <v>293</v>
      </c>
      <c r="B93" s="1">
        <v>91</v>
      </c>
    </row>
    <row r="94" spans="1:2" x14ac:dyDescent="0.4">
      <c r="A94" s="2" t="s">
        <v>276</v>
      </c>
      <c r="B94" s="1">
        <v>94</v>
      </c>
    </row>
    <row r="95" spans="1:2" x14ac:dyDescent="0.4">
      <c r="A95" s="2" t="s">
        <v>371</v>
      </c>
      <c r="B95" s="1">
        <v>95</v>
      </c>
    </row>
    <row r="96" spans="1:2" x14ac:dyDescent="0.4">
      <c r="A96" s="2" t="s">
        <v>372</v>
      </c>
      <c r="B96" s="1">
        <v>95</v>
      </c>
    </row>
    <row r="97" spans="1:2" x14ac:dyDescent="0.4">
      <c r="A97" s="2" t="s">
        <v>373</v>
      </c>
      <c r="B97" s="1">
        <v>97</v>
      </c>
    </row>
    <row r="98" spans="1:2" x14ac:dyDescent="0.4">
      <c r="A98" s="2" t="s">
        <v>374</v>
      </c>
      <c r="B98" s="1">
        <v>98</v>
      </c>
    </row>
    <row r="99" spans="1:2" x14ac:dyDescent="0.4">
      <c r="A99" s="2" t="s">
        <v>239</v>
      </c>
      <c r="B99" s="1">
        <v>99</v>
      </c>
    </row>
    <row r="100" spans="1:2" x14ac:dyDescent="0.4">
      <c r="A100" s="2" t="s">
        <v>375</v>
      </c>
      <c r="B100" s="1">
        <v>100</v>
      </c>
    </row>
    <row r="101" spans="1:2" x14ac:dyDescent="0.4">
      <c r="A101" s="2" t="s">
        <v>376</v>
      </c>
      <c r="B101" s="1">
        <v>100</v>
      </c>
    </row>
    <row r="102" spans="1:2" x14ac:dyDescent="0.4">
      <c r="A102" s="2" t="s">
        <v>377</v>
      </c>
      <c r="B102" s="1">
        <v>100</v>
      </c>
    </row>
    <row r="103" spans="1:2" x14ac:dyDescent="0.4">
      <c r="A103" s="2" t="s">
        <v>378</v>
      </c>
      <c r="B103" s="1">
        <v>100</v>
      </c>
    </row>
    <row r="104" spans="1:2" x14ac:dyDescent="0.4">
      <c r="A104" s="2" t="s">
        <v>290</v>
      </c>
      <c r="B104" s="1">
        <v>100</v>
      </c>
    </row>
    <row r="105" spans="1:2" x14ac:dyDescent="0.4">
      <c r="A105" s="6"/>
      <c r="B105" s="5"/>
    </row>
    <row r="106" spans="1:2" x14ac:dyDescent="0.4">
      <c r="A106" s="6"/>
      <c r="B106" s="5"/>
    </row>
    <row r="107" spans="1:2" x14ac:dyDescent="0.4">
      <c r="A107" s="6"/>
      <c r="B107" s="5"/>
    </row>
    <row r="108" spans="1:2" x14ac:dyDescent="0.4">
      <c r="A108" s="6"/>
      <c r="B108" s="5"/>
    </row>
    <row r="110" spans="1:2" x14ac:dyDescent="0.4">
      <c r="A110" s="2"/>
      <c r="B110" s="1"/>
    </row>
    <row r="111" spans="1:2" x14ac:dyDescent="0.4">
      <c r="A111" s="2"/>
      <c r="B111" s="1"/>
    </row>
    <row r="112" spans="1:2" x14ac:dyDescent="0.4">
      <c r="A112" s="2"/>
      <c r="B112" s="1"/>
    </row>
    <row r="113" spans="1:2" x14ac:dyDescent="0.4">
      <c r="A113" s="2"/>
      <c r="B113" s="1"/>
    </row>
    <row r="114" spans="1:2" x14ac:dyDescent="0.4">
      <c r="A114" s="2"/>
      <c r="B114" s="1"/>
    </row>
    <row r="115" spans="1:2" x14ac:dyDescent="0.4">
      <c r="A115" s="2"/>
      <c r="B115" s="1"/>
    </row>
    <row r="116" spans="1:2" x14ac:dyDescent="0.4">
      <c r="A116" s="2"/>
      <c r="B116" s="1"/>
    </row>
    <row r="117" spans="1:2" x14ac:dyDescent="0.4">
      <c r="A117" s="2"/>
      <c r="B117" s="1"/>
    </row>
    <row r="118" spans="1:2" x14ac:dyDescent="0.4">
      <c r="A118" s="2"/>
      <c r="B118" s="1"/>
    </row>
    <row r="119" spans="1:2" x14ac:dyDescent="0.4">
      <c r="A119" s="2"/>
      <c r="B119" s="1"/>
    </row>
    <row r="120" spans="1:2" x14ac:dyDescent="0.4">
      <c r="A120" s="2"/>
      <c r="B120" s="1"/>
    </row>
    <row r="121" spans="1:2" x14ac:dyDescent="0.4">
      <c r="A121" s="2"/>
      <c r="B121" s="1"/>
    </row>
    <row r="122" spans="1:2" x14ac:dyDescent="0.4">
      <c r="A122" s="2"/>
      <c r="B122" s="1"/>
    </row>
    <row r="123" spans="1:2" x14ac:dyDescent="0.4">
      <c r="A123" s="2"/>
      <c r="B123" s="1"/>
    </row>
    <row r="124" spans="1:2" x14ac:dyDescent="0.4">
      <c r="A124" s="2"/>
      <c r="B124" s="1"/>
    </row>
    <row r="125" spans="1:2" x14ac:dyDescent="0.4">
      <c r="A125" s="2"/>
      <c r="B125" s="1"/>
    </row>
    <row r="126" spans="1:2" x14ac:dyDescent="0.4">
      <c r="A126" s="2"/>
      <c r="B126" s="1"/>
    </row>
    <row r="127" spans="1:2" x14ac:dyDescent="0.4">
      <c r="A127" s="2"/>
      <c r="B127" s="1"/>
    </row>
    <row r="128" spans="1:2" x14ac:dyDescent="0.4">
      <c r="A128" s="2"/>
      <c r="B128" s="1"/>
    </row>
    <row r="129" spans="1:2" x14ac:dyDescent="0.4">
      <c r="A129" s="2"/>
      <c r="B129" s="1"/>
    </row>
    <row r="130" spans="1:2" x14ac:dyDescent="0.4">
      <c r="A130" s="2"/>
      <c r="B130" s="1"/>
    </row>
    <row r="131" spans="1:2" x14ac:dyDescent="0.4">
      <c r="A131" s="2"/>
      <c r="B131" s="1"/>
    </row>
    <row r="132" spans="1:2" x14ac:dyDescent="0.4">
      <c r="A132" s="2"/>
      <c r="B132" s="1"/>
    </row>
    <row r="133" spans="1:2" x14ac:dyDescent="0.4">
      <c r="A133" s="2"/>
      <c r="B133" s="1"/>
    </row>
    <row r="134" spans="1:2" x14ac:dyDescent="0.4">
      <c r="A134" s="2"/>
      <c r="B134" s="1"/>
    </row>
    <row r="135" spans="1:2" x14ac:dyDescent="0.4">
      <c r="A135" s="2"/>
      <c r="B135" s="1"/>
    </row>
    <row r="136" spans="1:2" x14ac:dyDescent="0.4">
      <c r="A136" s="2"/>
      <c r="B136" s="1"/>
    </row>
    <row r="137" spans="1:2" x14ac:dyDescent="0.4">
      <c r="A137" s="2"/>
      <c r="B137" s="1"/>
    </row>
    <row r="138" spans="1:2" x14ac:dyDescent="0.4">
      <c r="A138" s="2"/>
      <c r="B138" s="1"/>
    </row>
    <row r="139" spans="1:2" x14ac:dyDescent="0.4">
      <c r="A139" s="2"/>
      <c r="B139" s="1"/>
    </row>
    <row r="140" spans="1:2" x14ac:dyDescent="0.4">
      <c r="A140" s="2"/>
      <c r="B140" s="1"/>
    </row>
    <row r="141" spans="1:2" x14ac:dyDescent="0.4">
      <c r="A141" s="2"/>
      <c r="B141" s="1"/>
    </row>
    <row r="142" spans="1:2" x14ac:dyDescent="0.4">
      <c r="A142" s="2"/>
      <c r="B142" s="1"/>
    </row>
    <row r="143" spans="1:2" x14ac:dyDescent="0.4">
      <c r="A143" s="2"/>
      <c r="B143" s="1"/>
    </row>
    <row r="144" spans="1:2" x14ac:dyDescent="0.4">
      <c r="A144" s="2"/>
      <c r="B144" s="1"/>
    </row>
    <row r="145" spans="1:2" x14ac:dyDescent="0.4">
      <c r="A145" s="2"/>
      <c r="B145" s="1"/>
    </row>
    <row r="146" spans="1:2" x14ac:dyDescent="0.4">
      <c r="A146" s="2"/>
      <c r="B146" s="1"/>
    </row>
    <row r="147" spans="1:2" x14ac:dyDescent="0.4">
      <c r="A147" s="2"/>
      <c r="B147" s="1"/>
    </row>
    <row r="148" spans="1:2" x14ac:dyDescent="0.4">
      <c r="A148" s="2"/>
      <c r="B148" s="1"/>
    </row>
    <row r="149" spans="1:2" x14ac:dyDescent="0.4">
      <c r="A149" s="2"/>
      <c r="B149" s="1"/>
    </row>
    <row r="150" spans="1:2" x14ac:dyDescent="0.4">
      <c r="A150" s="2"/>
      <c r="B150" s="1"/>
    </row>
    <row r="151" spans="1:2" x14ac:dyDescent="0.4">
      <c r="A151" s="2"/>
      <c r="B151" s="1"/>
    </row>
    <row r="152" spans="1:2" x14ac:dyDescent="0.4">
      <c r="A152" s="2"/>
      <c r="B152" s="1"/>
    </row>
    <row r="153" spans="1:2" x14ac:dyDescent="0.4">
      <c r="A153" s="2"/>
      <c r="B153" s="1"/>
    </row>
    <row r="154" spans="1:2" x14ac:dyDescent="0.4">
      <c r="A154" s="2"/>
      <c r="B154" s="1"/>
    </row>
    <row r="155" spans="1:2" x14ac:dyDescent="0.4">
      <c r="A155" s="2"/>
      <c r="B155" s="1"/>
    </row>
    <row r="156" spans="1:2" x14ac:dyDescent="0.4">
      <c r="A156" s="2"/>
      <c r="B156" s="1"/>
    </row>
    <row r="157" spans="1:2" x14ac:dyDescent="0.4">
      <c r="A157" s="2"/>
      <c r="B157" s="1"/>
    </row>
    <row r="158" spans="1:2" x14ac:dyDescent="0.4">
      <c r="A158" s="2"/>
      <c r="B158" s="1"/>
    </row>
    <row r="159" spans="1:2" x14ac:dyDescent="0.4">
      <c r="A159" s="2"/>
      <c r="B159" s="1"/>
    </row>
    <row r="160" spans="1:2" x14ac:dyDescent="0.4">
      <c r="A160" s="2"/>
      <c r="B160" s="1"/>
    </row>
    <row r="161" spans="1:2" x14ac:dyDescent="0.4">
      <c r="A161" s="2"/>
      <c r="B161" s="1"/>
    </row>
    <row r="162" spans="1:2" x14ac:dyDescent="0.4">
      <c r="A162" s="2"/>
      <c r="B162" s="1"/>
    </row>
    <row r="163" spans="1:2" x14ac:dyDescent="0.4">
      <c r="A163" s="2"/>
      <c r="B163" s="1"/>
    </row>
    <row r="164" spans="1:2" x14ac:dyDescent="0.4">
      <c r="A164" s="2"/>
      <c r="B164" s="1"/>
    </row>
    <row r="165" spans="1:2" x14ac:dyDescent="0.4">
      <c r="A165" s="2"/>
      <c r="B165" s="1"/>
    </row>
    <row r="166" spans="1:2" x14ac:dyDescent="0.4">
      <c r="A166" s="2"/>
      <c r="B166" s="1"/>
    </row>
    <row r="167" spans="1:2" x14ac:dyDescent="0.4">
      <c r="A167" s="2"/>
      <c r="B167" s="1"/>
    </row>
    <row r="168" spans="1:2" x14ac:dyDescent="0.4">
      <c r="A168" s="2"/>
      <c r="B168" s="1"/>
    </row>
    <row r="169" spans="1:2" x14ac:dyDescent="0.4">
      <c r="A169" s="2"/>
      <c r="B169" s="1"/>
    </row>
    <row r="170" spans="1:2" x14ac:dyDescent="0.4">
      <c r="A170" s="2"/>
      <c r="B170" s="1"/>
    </row>
    <row r="171" spans="1:2" x14ac:dyDescent="0.4">
      <c r="A171" s="2"/>
      <c r="B171" s="1"/>
    </row>
    <row r="172" spans="1:2" x14ac:dyDescent="0.4">
      <c r="A172" s="2"/>
      <c r="B172" s="1"/>
    </row>
    <row r="173" spans="1:2" x14ac:dyDescent="0.4">
      <c r="A173" s="2"/>
      <c r="B173" s="1"/>
    </row>
    <row r="174" spans="1:2" x14ac:dyDescent="0.4">
      <c r="A174" s="2"/>
      <c r="B174" s="1"/>
    </row>
    <row r="175" spans="1:2" x14ac:dyDescent="0.4">
      <c r="A175" s="2"/>
      <c r="B175" s="1"/>
    </row>
    <row r="176" spans="1:2" x14ac:dyDescent="0.4">
      <c r="A176" s="2"/>
      <c r="B176" s="1"/>
    </row>
    <row r="177" spans="1:2" x14ac:dyDescent="0.4">
      <c r="A177" s="2"/>
      <c r="B177" s="1"/>
    </row>
    <row r="178" spans="1:2" x14ac:dyDescent="0.4">
      <c r="A178" s="2"/>
      <c r="B178" s="1"/>
    </row>
    <row r="179" spans="1:2" x14ac:dyDescent="0.4">
      <c r="A179" s="2"/>
      <c r="B179" s="1"/>
    </row>
    <row r="180" spans="1:2" x14ac:dyDescent="0.4">
      <c r="A180" s="2"/>
      <c r="B180" s="1"/>
    </row>
    <row r="181" spans="1:2" x14ac:dyDescent="0.4">
      <c r="A181" s="2"/>
      <c r="B181" s="1"/>
    </row>
    <row r="182" spans="1:2" x14ac:dyDescent="0.4">
      <c r="A182" s="2"/>
      <c r="B182" s="1"/>
    </row>
    <row r="183" spans="1:2" x14ac:dyDescent="0.4">
      <c r="A183" s="2"/>
      <c r="B183" s="1"/>
    </row>
    <row r="184" spans="1:2" x14ac:dyDescent="0.4">
      <c r="A184" s="2"/>
      <c r="B184" s="1"/>
    </row>
    <row r="185" spans="1:2" x14ac:dyDescent="0.4">
      <c r="A185" s="2"/>
      <c r="B185" s="1"/>
    </row>
    <row r="186" spans="1:2" x14ac:dyDescent="0.4">
      <c r="A186" s="2"/>
      <c r="B186" s="1"/>
    </row>
    <row r="187" spans="1:2" x14ac:dyDescent="0.4">
      <c r="A187" s="2"/>
      <c r="B187" s="1"/>
    </row>
    <row r="188" spans="1:2" x14ac:dyDescent="0.4">
      <c r="A188" s="2"/>
      <c r="B188" s="1"/>
    </row>
    <row r="189" spans="1:2" x14ac:dyDescent="0.4">
      <c r="A189" s="2"/>
      <c r="B189" s="1"/>
    </row>
    <row r="190" spans="1:2" x14ac:dyDescent="0.4">
      <c r="A190" s="2"/>
      <c r="B190" s="1"/>
    </row>
    <row r="191" spans="1:2" x14ac:dyDescent="0.4">
      <c r="A191" s="2"/>
      <c r="B191" s="1"/>
    </row>
    <row r="192" spans="1:2" x14ac:dyDescent="0.4">
      <c r="A192" s="2"/>
      <c r="B192" s="1"/>
    </row>
    <row r="193" spans="1:2" x14ac:dyDescent="0.4">
      <c r="A193" s="2"/>
      <c r="B193" s="1"/>
    </row>
    <row r="194" spans="1:2" x14ac:dyDescent="0.4">
      <c r="A194" s="2"/>
      <c r="B194" s="1"/>
    </row>
    <row r="195" spans="1:2" x14ac:dyDescent="0.4">
      <c r="A195" s="2"/>
      <c r="B195" s="1"/>
    </row>
    <row r="196" spans="1:2" x14ac:dyDescent="0.4">
      <c r="A196" s="2"/>
      <c r="B196" s="1"/>
    </row>
    <row r="197" spans="1:2" x14ac:dyDescent="0.4">
      <c r="A197" s="2"/>
      <c r="B197" s="1"/>
    </row>
    <row r="198" spans="1:2" x14ac:dyDescent="0.4">
      <c r="A198" s="2"/>
      <c r="B198" s="1"/>
    </row>
    <row r="199" spans="1:2" x14ac:dyDescent="0.4">
      <c r="A199" s="2"/>
      <c r="B199" s="1"/>
    </row>
    <row r="200" spans="1:2" x14ac:dyDescent="0.4">
      <c r="A200" s="2"/>
      <c r="B200" s="1"/>
    </row>
    <row r="201" spans="1:2" x14ac:dyDescent="0.4">
      <c r="A201" s="2"/>
      <c r="B201" s="1"/>
    </row>
    <row r="202" spans="1:2" x14ac:dyDescent="0.4">
      <c r="A202" s="2"/>
      <c r="B202" s="1"/>
    </row>
    <row r="203" spans="1:2" x14ac:dyDescent="0.4">
      <c r="A203" s="2"/>
      <c r="B203" s="1"/>
    </row>
    <row r="204" spans="1:2" x14ac:dyDescent="0.4">
      <c r="A204" s="2"/>
      <c r="B204" s="1"/>
    </row>
    <row r="205" spans="1:2" x14ac:dyDescent="0.4">
      <c r="A205" s="2"/>
      <c r="B205" s="1"/>
    </row>
    <row r="206" spans="1:2" x14ac:dyDescent="0.4">
      <c r="A206" s="2"/>
      <c r="B206" s="1"/>
    </row>
    <row r="207" spans="1:2" x14ac:dyDescent="0.4">
      <c r="A207" s="2"/>
      <c r="B207" s="1"/>
    </row>
    <row r="208" spans="1:2" x14ac:dyDescent="0.4">
      <c r="A208" s="2"/>
      <c r="B208" s="1"/>
    </row>
    <row r="209" spans="1:2" x14ac:dyDescent="0.4">
      <c r="A209" s="2"/>
      <c r="B209" s="1"/>
    </row>
    <row r="211" spans="1:2" x14ac:dyDescent="0.4">
      <c r="A211" s="8"/>
      <c r="B211" s="19"/>
    </row>
    <row r="212" spans="1:2" x14ac:dyDescent="0.4">
      <c r="A212" s="7"/>
      <c r="B212" s="19"/>
    </row>
    <row r="213" spans="1:2" x14ac:dyDescent="0.4">
      <c r="A213" s="8"/>
      <c r="B213" s="19"/>
    </row>
    <row r="214" spans="1:2" x14ac:dyDescent="0.4">
      <c r="A214" s="7"/>
      <c r="B214" s="19"/>
    </row>
    <row r="215" spans="1:2" x14ac:dyDescent="0.4">
      <c r="A215" s="8"/>
      <c r="B215" s="19"/>
    </row>
    <row r="216" spans="1:2" x14ac:dyDescent="0.4">
      <c r="A216" s="7"/>
      <c r="B216" s="19"/>
    </row>
    <row r="217" spans="1:2" x14ac:dyDescent="0.4">
      <c r="A217" s="8"/>
      <c r="B217" s="19"/>
    </row>
    <row r="218" spans="1:2" x14ac:dyDescent="0.4">
      <c r="A218" s="7"/>
      <c r="B218" s="19"/>
    </row>
    <row r="219" spans="1:2" x14ac:dyDescent="0.4">
      <c r="A219" s="8"/>
      <c r="B219" s="19"/>
    </row>
    <row r="220" spans="1:2" x14ac:dyDescent="0.4">
      <c r="A220" s="7"/>
      <c r="B220" s="19"/>
    </row>
    <row r="221" spans="1:2" x14ac:dyDescent="0.4">
      <c r="A221" s="8"/>
      <c r="B221" s="19"/>
    </row>
    <row r="222" spans="1:2" x14ac:dyDescent="0.4">
      <c r="A222" s="7"/>
      <c r="B222" s="19"/>
    </row>
    <row r="223" spans="1:2" x14ac:dyDescent="0.4">
      <c r="A223" s="8"/>
      <c r="B223" s="19"/>
    </row>
    <row r="224" spans="1:2" x14ac:dyDescent="0.4">
      <c r="A224" s="7"/>
      <c r="B224" s="19"/>
    </row>
    <row r="225" spans="1:2" x14ac:dyDescent="0.4">
      <c r="A225" s="8"/>
      <c r="B225" s="19"/>
    </row>
    <row r="226" spans="1:2" x14ac:dyDescent="0.4">
      <c r="A226" s="7"/>
      <c r="B226" s="19"/>
    </row>
    <row r="227" spans="1:2" x14ac:dyDescent="0.4">
      <c r="A227" s="8"/>
      <c r="B227" s="19"/>
    </row>
    <row r="228" spans="1:2" x14ac:dyDescent="0.4">
      <c r="A228" s="7"/>
      <c r="B228" s="19"/>
    </row>
    <row r="229" spans="1:2" x14ac:dyDescent="0.4">
      <c r="A229" s="8"/>
      <c r="B229" s="19"/>
    </row>
    <row r="230" spans="1:2" x14ac:dyDescent="0.4">
      <c r="A230" s="7"/>
      <c r="B230" s="19"/>
    </row>
    <row r="231" spans="1:2" x14ac:dyDescent="0.4">
      <c r="A231" s="8"/>
      <c r="B231" s="19"/>
    </row>
    <row r="232" spans="1:2" x14ac:dyDescent="0.4">
      <c r="A232" s="7"/>
      <c r="B232" s="19"/>
    </row>
    <row r="233" spans="1:2" x14ac:dyDescent="0.4">
      <c r="A233" s="8"/>
      <c r="B233" s="19"/>
    </row>
    <row r="234" spans="1:2" x14ac:dyDescent="0.4">
      <c r="A234" s="7"/>
      <c r="B234" s="19"/>
    </row>
    <row r="235" spans="1:2" x14ac:dyDescent="0.4">
      <c r="A235" s="8"/>
      <c r="B235" s="19"/>
    </row>
    <row r="236" spans="1:2" x14ac:dyDescent="0.4">
      <c r="A236" s="7"/>
      <c r="B236" s="19"/>
    </row>
    <row r="237" spans="1:2" x14ac:dyDescent="0.4">
      <c r="A237" s="8"/>
      <c r="B237" s="19"/>
    </row>
    <row r="238" spans="1:2" x14ac:dyDescent="0.4">
      <c r="A238" s="7"/>
      <c r="B238" s="19"/>
    </row>
    <row r="239" spans="1:2" x14ac:dyDescent="0.4">
      <c r="A239" s="8"/>
      <c r="B239" s="19"/>
    </row>
    <row r="240" spans="1:2" x14ac:dyDescent="0.4">
      <c r="A240" s="7"/>
      <c r="B240" s="19"/>
    </row>
    <row r="241" spans="1:2" x14ac:dyDescent="0.4">
      <c r="A241" s="8"/>
      <c r="B241" s="19"/>
    </row>
    <row r="242" spans="1:2" x14ac:dyDescent="0.4">
      <c r="A242" s="7"/>
      <c r="B242" s="19"/>
    </row>
    <row r="243" spans="1:2" x14ac:dyDescent="0.4">
      <c r="A243" s="8"/>
      <c r="B243" s="19"/>
    </row>
    <row r="244" spans="1:2" x14ac:dyDescent="0.4">
      <c r="A244" s="7"/>
      <c r="B244" s="19"/>
    </row>
    <row r="245" spans="1:2" x14ac:dyDescent="0.4">
      <c r="A245" s="8"/>
      <c r="B245" s="19"/>
    </row>
    <row r="246" spans="1:2" x14ac:dyDescent="0.4">
      <c r="A246" s="7"/>
      <c r="B246" s="19"/>
    </row>
    <row r="247" spans="1:2" x14ac:dyDescent="0.4">
      <c r="A247" s="8"/>
      <c r="B247" s="19"/>
    </row>
    <row r="248" spans="1:2" x14ac:dyDescent="0.4">
      <c r="A248" s="7"/>
      <c r="B248" s="19"/>
    </row>
    <row r="249" spans="1:2" x14ac:dyDescent="0.4">
      <c r="A249" s="8"/>
      <c r="B249" s="19"/>
    </row>
    <row r="250" spans="1:2" x14ac:dyDescent="0.4">
      <c r="A250" s="7"/>
      <c r="B250" s="19"/>
    </row>
    <row r="251" spans="1:2" x14ac:dyDescent="0.4">
      <c r="A251" s="8"/>
      <c r="B251" s="19"/>
    </row>
    <row r="252" spans="1:2" x14ac:dyDescent="0.4">
      <c r="A252" s="7"/>
      <c r="B252" s="19"/>
    </row>
    <row r="253" spans="1:2" x14ac:dyDescent="0.4">
      <c r="A253" s="8"/>
      <c r="B253" s="19"/>
    </row>
    <row r="254" spans="1:2" x14ac:dyDescent="0.4">
      <c r="A254" s="7"/>
      <c r="B254" s="19"/>
    </row>
    <row r="255" spans="1:2" x14ac:dyDescent="0.4">
      <c r="A255" s="8"/>
      <c r="B255" s="19"/>
    </row>
    <row r="256" spans="1:2" x14ac:dyDescent="0.4">
      <c r="A256" s="7"/>
      <c r="B256" s="19"/>
    </row>
    <row r="257" spans="1:2" x14ac:dyDescent="0.4">
      <c r="A257" s="8"/>
      <c r="B257" s="19"/>
    </row>
    <row r="258" spans="1:2" x14ac:dyDescent="0.4">
      <c r="A258" s="7"/>
      <c r="B258" s="19"/>
    </row>
    <row r="259" spans="1:2" x14ac:dyDescent="0.4">
      <c r="A259" s="8"/>
      <c r="B259" s="19"/>
    </row>
    <row r="260" spans="1:2" x14ac:dyDescent="0.4">
      <c r="A260" s="7"/>
      <c r="B260" s="19"/>
    </row>
    <row r="261" spans="1:2" x14ac:dyDescent="0.4">
      <c r="A261" s="8"/>
      <c r="B261" s="19"/>
    </row>
    <row r="262" spans="1:2" x14ac:dyDescent="0.4">
      <c r="A262" s="7"/>
      <c r="B262" s="19"/>
    </row>
    <row r="263" spans="1:2" x14ac:dyDescent="0.4">
      <c r="A263" s="8"/>
      <c r="B263" s="19"/>
    </row>
    <row r="264" spans="1:2" x14ac:dyDescent="0.4">
      <c r="A264" s="7"/>
      <c r="B264" s="19"/>
    </row>
    <row r="265" spans="1:2" x14ac:dyDescent="0.4">
      <c r="A265" s="8"/>
      <c r="B265" s="19"/>
    </row>
    <row r="266" spans="1:2" x14ac:dyDescent="0.4">
      <c r="A266" s="7"/>
      <c r="B266" s="19"/>
    </row>
    <row r="267" spans="1:2" x14ac:dyDescent="0.4">
      <c r="A267" s="8"/>
      <c r="B267" s="19"/>
    </row>
    <row r="268" spans="1:2" x14ac:dyDescent="0.4">
      <c r="A268" s="7"/>
      <c r="B268" s="19"/>
    </row>
    <row r="269" spans="1:2" x14ac:dyDescent="0.4">
      <c r="A269" s="8"/>
      <c r="B269" s="19"/>
    </row>
    <row r="270" spans="1:2" x14ac:dyDescent="0.4">
      <c r="A270" s="7"/>
      <c r="B270" s="19"/>
    </row>
    <row r="271" spans="1:2" x14ac:dyDescent="0.4">
      <c r="A271" s="5"/>
      <c r="B271" s="5"/>
    </row>
    <row r="272" spans="1:2" x14ac:dyDescent="0.4">
      <c r="A272" s="8"/>
      <c r="B272" s="19"/>
    </row>
    <row r="273" spans="1:2" x14ac:dyDescent="0.4">
      <c r="A273" s="7"/>
      <c r="B273" s="19"/>
    </row>
    <row r="274" spans="1:2" x14ac:dyDescent="0.4">
      <c r="A274" s="8"/>
      <c r="B274" s="19"/>
    </row>
    <row r="275" spans="1:2" x14ac:dyDescent="0.4">
      <c r="A275" s="7"/>
      <c r="B275" s="19"/>
    </row>
    <row r="276" spans="1:2" x14ac:dyDescent="0.4">
      <c r="A276" s="8"/>
      <c r="B276" s="19"/>
    </row>
    <row r="277" spans="1:2" x14ac:dyDescent="0.4">
      <c r="A277" s="7"/>
      <c r="B277" s="19"/>
    </row>
    <row r="278" spans="1:2" x14ac:dyDescent="0.4">
      <c r="A278" s="8"/>
      <c r="B278" s="19"/>
    </row>
    <row r="279" spans="1:2" x14ac:dyDescent="0.4">
      <c r="A279" s="7"/>
      <c r="B279" s="19"/>
    </row>
    <row r="280" spans="1:2" x14ac:dyDescent="0.4">
      <c r="A280" s="8"/>
      <c r="B280" s="19"/>
    </row>
    <row r="281" spans="1:2" x14ac:dyDescent="0.4">
      <c r="A281" s="7"/>
      <c r="B281" s="19"/>
    </row>
    <row r="282" spans="1:2" x14ac:dyDescent="0.4">
      <c r="A282" s="8"/>
      <c r="B282" s="19"/>
    </row>
    <row r="283" spans="1:2" x14ac:dyDescent="0.4">
      <c r="A283" s="7"/>
      <c r="B283" s="19"/>
    </row>
    <row r="284" spans="1:2" x14ac:dyDescent="0.4">
      <c r="A284" s="8"/>
      <c r="B284" s="19"/>
    </row>
    <row r="285" spans="1:2" x14ac:dyDescent="0.4">
      <c r="A285" s="7"/>
      <c r="B285" s="19"/>
    </row>
    <row r="286" spans="1:2" x14ac:dyDescent="0.4">
      <c r="A286" s="8"/>
      <c r="B286" s="19"/>
    </row>
    <row r="287" spans="1:2" x14ac:dyDescent="0.4">
      <c r="A287" s="7"/>
      <c r="B287" s="19"/>
    </row>
    <row r="288" spans="1:2" x14ac:dyDescent="0.4">
      <c r="A288" s="8"/>
      <c r="B288" s="19"/>
    </row>
    <row r="289" spans="1:2" x14ac:dyDescent="0.4">
      <c r="A289" s="7"/>
      <c r="B289" s="19"/>
    </row>
    <row r="290" spans="1:2" x14ac:dyDescent="0.4">
      <c r="A290" s="8"/>
      <c r="B290" s="19"/>
    </row>
    <row r="291" spans="1:2" x14ac:dyDescent="0.4">
      <c r="A291" s="7"/>
      <c r="B291" s="19"/>
    </row>
    <row r="292" spans="1:2" x14ac:dyDescent="0.4">
      <c r="A292" s="8"/>
      <c r="B292" s="19"/>
    </row>
    <row r="293" spans="1:2" x14ac:dyDescent="0.4">
      <c r="A293" s="7"/>
      <c r="B293" s="19"/>
    </row>
    <row r="294" spans="1:2" x14ac:dyDescent="0.4">
      <c r="A294" s="8"/>
      <c r="B294" s="19"/>
    </row>
    <row r="295" spans="1:2" x14ac:dyDescent="0.4">
      <c r="A295" s="7"/>
      <c r="B295" s="19"/>
    </row>
    <row r="296" spans="1:2" x14ac:dyDescent="0.4">
      <c r="A296" s="8"/>
      <c r="B296" s="19"/>
    </row>
    <row r="297" spans="1:2" x14ac:dyDescent="0.4">
      <c r="A297" s="7"/>
      <c r="B297" s="19"/>
    </row>
    <row r="298" spans="1:2" x14ac:dyDescent="0.4">
      <c r="A298" s="8"/>
      <c r="B298" s="19"/>
    </row>
    <row r="299" spans="1:2" x14ac:dyDescent="0.4">
      <c r="A299" s="7"/>
      <c r="B299" s="19"/>
    </row>
    <row r="300" spans="1:2" x14ac:dyDescent="0.4">
      <c r="A300" s="8"/>
      <c r="B300" s="19"/>
    </row>
    <row r="301" spans="1:2" x14ac:dyDescent="0.4">
      <c r="A301" s="7"/>
      <c r="B301" s="19"/>
    </row>
    <row r="302" spans="1:2" x14ac:dyDescent="0.4">
      <c r="A302" s="8"/>
      <c r="B302" s="19"/>
    </row>
    <row r="303" spans="1:2" x14ac:dyDescent="0.4">
      <c r="A303" s="7"/>
      <c r="B303" s="19"/>
    </row>
    <row r="304" spans="1:2" x14ac:dyDescent="0.4">
      <c r="A304" s="8"/>
      <c r="B304" s="19"/>
    </row>
    <row r="305" spans="1:2" x14ac:dyDescent="0.4">
      <c r="A305" s="7"/>
      <c r="B305" s="19"/>
    </row>
    <row r="306" spans="1:2" x14ac:dyDescent="0.4">
      <c r="A306" s="8"/>
      <c r="B306" s="19"/>
    </row>
    <row r="307" spans="1:2" x14ac:dyDescent="0.4">
      <c r="A307" s="7"/>
      <c r="B307" s="19"/>
    </row>
    <row r="308" spans="1:2" x14ac:dyDescent="0.4">
      <c r="A308" s="8"/>
      <c r="B308" s="19"/>
    </row>
    <row r="309" spans="1:2" x14ac:dyDescent="0.4">
      <c r="A309" s="7"/>
      <c r="B309" s="19"/>
    </row>
    <row r="310" spans="1:2" x14ac:dyDescent="0.4">
      <c r="A310" s="8"/>
      <c r="B310" s="19"/>
    </row>
    <row r="311" spans="1:2" x14ac:dyDescent="0.4">
      <c r="A311" s="7"/>
      <c r="B311" s="19"/>
    </row>
    <row r="313" spans="1:2" x14ac:dyDescent="0.4">
      <c r="A313" s="6"/>
      <c r="B313" s="5"/>
    </row>
    <row r="314" spans="1:2" x14ac:dyDescent="0.4">
      <c r="A314" s="6"/>
      <c r="B314" s="5"/>
    </row>
    <row r="315" spans="1:2" x14ac:dyDescent="0.4">
      <c r="A315" s="6"/>
      <c r="B315" s="5"/>
    </row>
    <row r="316" spans="1:2" x14ac:dyDescent="0.4">
      <c r="A316" s="6"/>
      <c r="B316" s="5"/>
    </row>
    <row r="317" spans="1:2" x14ac:dyDescent="0.4">
      <c r="A317" s="6"/>
      <c r="B317" s="5"/>
    </row>
    <row r="318" spans="1:2" x14ac:dyDescent="0.4">
      <c r="A318" s="6"/>
      <c r="B318" s="5"/>
    </row>
    <row r="319" spans="1:2" x14ac:dyDescent="0.4">
      <c r="A319" s="6"/>
      <c r="B319" s="5"/>
    </row>
    <row r="320" spans="1:2" x14ac:dyDescent="0.4">
      <c r="A320" s="6"/>
      <c r="B320" s="5"/>
    </row>
    <row r="321" spans="1:2" x14ac:dyDescent="0.4">
      <c r="A321" s="6"/>
      <c r="B321" s="5"/>
    </row>
    <row r="322" spans="1:2" x14ac:dyDescent="0.4">
      <c r="A322" s="6"/>
      <c r="B322" s="5"/>
    </row>
  </sheetData>
  <mergeCells count="50">
    <mergeCell ref="B221:B222"/>
    <mergeCell ref="B211:B212"/>
    <mergeCell ref="B213:B214"/>
    <mergeCell ref="B215:B216"/>
    <mergeCell ref="B217:B218"/>
    <mergeCell ref="B219:B220"/>
    <mergeCell ref="B245:B246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69:B270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94:B295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308:B309"/>
    <mergeCell ref="B310:B311"/>
    <mergeCell ref="B296:B297"/>
    <mergeCell ref="B298:B299"/>
    <mergeCell ref="B300:B301"/>
    <mergeCell ref="B302:B303"/>
    <mergeCell ref="B304:B305"/>
    <mergeCell ref="B306:B30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A663-6EAF-404F-98E9-0AA494432176}">
  <dimension ref="A1:B30"/>
  <sheetViews>
    <sheetView workbookViewId="0">
      <selection activeCell="B1" sqref="B1:B1048576"/>
    </sheetView>
  </sheetViews>
  <sheetFormatPr defaultRowHeight="14.6" x14ac:dyDescent="0.4"/>
  <cols>
    <col min="1" max="1" width="51.69140625" customWidth="1"/>
  </cols>
  <sheetData>
    <row r="1" spans="1:2" x14ac:dyDescent="0.4">
      <c r="A1" t="s">
        <v>217</v>
      </c>
      <c r="B1" s="7">
        <v>1</v>
      </c>
    </row>
    <row r="2" spans="1:2" x14ac:dyDescent="0.4">
      <c r="A2" t="s">
        <v>219</v>
      </c>
      <c r="B2" s="7">
        <v>2</v>
      </c>
    </row>
    <row r="3" spans="1:2" x14ac:dyDescent="0.4">
      <c r="A3" t="s">
        <v>227</v>
      </c>
      <c r="B3" s="7">
        <v>3</v>
      </c>
    </row>
    <row r="4" spans="1:2" ht="14.6" customHeight="1" x14ac:dyDescent="0.4">
      <c r="A4" t="s">
        <v>221</v>
      </c>
      <c r="B4" s="7">
        <v>4</v>
      </c>
    </row>
    <row r="5" spans="1:2" ht="14.6" customHeight="1" x14ac:dyDescent="0.4">
      <c r="A5" t="s">
        <v>257</v>
      </c>
      <c r="B5" s="7">
        <v>5</v>
      </c>
    </row>
    <row r="6" spans="1:2" x14ac:dyDescent="0.4">
      <c r="A6" t="s">
        <v>356</v>
      </c>
      <c r="B6" s="7">
        <v>6</v>
      </c>
    </row>
    <row r="7" spans="1:2" x14ac:dyDescent="0.4">
      <c r="A7" t="s">
        <v>388</v>
      </c>
      <c r="B7" s="7">
        <v>7</v>
      </c>
    </row>
    <row r="8" spans="1:2" x14ac:dyDescent="0.4">
      <c r="A8" t="s">
        <v>399</v>
      </c>
      <c r="B8" s="7">
        <v>8</v>
      </c>
    </row>
    <row r="9" spans="1:2" x14ac:dyDescent="0.4">
      <c r="A9" t="s">
        <v>399</v>
      </c>
      <c r="B9" s="7">
        <v>9</v>
      </c>
    </row>
    <row r="10" spans="1:2" x14ac:dyDescent="0.4">
      <c r="A10" t="s">
        <v>216</v>
      </c>
      <c r="B10" s="7">
        <v>10</v>
      </c>
    </row>
    <row r="11" spans="1:2" x14ac:dyDescent="0.4">
      <c r="A11" t="s">
        <v>325</v>
      </c>
      <c r="B11" s="7">
        <v>11</v>
      </c>
    </row>
    <row r="12" spans="1:2" x14ac:dyDescent="0.4">
      <c r="A12" t="s">
        <v>248</v>
      </c>
      <c r="B12" s="7">
        <v>12</v>
      </c>
    </row>
    <row r="13" spans="1:2" x14ac:dyDescent="0.4">
      <c r="A13" t="s">
        <v>391</v>
      </c>
      <c r="B13" s="7">
        <v>13</v>
      </c>
    </row>
    <row r="14" spans="1:2" x14ac:dyDescent="0.4">
      <c r="A14" t="s">
        <v>229</v>
      </c>
      <c r="B14" s="7">
        <v>14</v>
      </c>
    </row>
    <row r="15" spans="1:2" x14ac:dyDescent="0.4">
      <c r="A15" t="s">
        <v>392</v>
      </c>
      <c r="B15" s="7">
        <v>15</v>
      </c>
    </row>
    <row r="16" spans="1:2" x14ac:dyDescent="0.4">
      <c r="A16" t="s">
        <v>354</v>
      </c>
      <c r="B16" s="7">
        <v>16</v>
      </c>
    </row>
    <row r="17" spans="1:2" x14ac:dyDescent="0.4">
      <c r="A17" t="s">
        <v>251</v>
      </c>
      <c r="B17" s="7">
        <v>17</v>
      </c>
    </row>
    <row r="18" spans="1:2" x14ac:dyDescent="0.4">
      <c r="A18" t="s">
        <v>395</v>
      </c>
      <c r="B18" s="7">
        <v>18</v>
      </c>
    </row>
    <row r="19" spans="1:2" x14ac:dyDescent="0.4">
      <c r="A19" t="s">
        <v>401</v>
      </c>
      <c r="B19" s="7">
        <v>19</v>
      </c>
    </row>
    <row r="20" spans="1:2" x14ac:dyDescent="0.4">
      <c r="A20" t="s">
        <v>220</v>
      </c>
      <c r="B20" s="7">
        <v>20</v>
      </c>
    </row>
    <row r="21" spans="1:2" x14ac:dyDescent="0.4">
      <c r="A21" t="s">
        <v>362</v>
      </c>
      <c r="B21" s="7">
        <v>21</v>
      </c>
    </row>
    <row r="22" spans="1:2" x14ac:dyDescent="0.4">
      <c r="A22" t="s">
        <v>400</v>
      </c>
      <c r="B22" s="7">
        <v>22</v>
      </c>
    </row>
    <row r="23" spans="1:2" x14ac:dyDescent="0.4">
      <c r="A23" t="s">
        <v>231</v>
      </c>
      <c r="B23" s="7">
        <v>23</v>
      </c>
    </row>
    <row r="24" spans="1:2" x14ac:dyDescent="0.4">
      <c r="A24" t="s">
        <v>379</v>
      </c>
      <c r="B24" s="7">
        <v>24</v>
      </c>
    </row>
    <row r="25" spans="1:2" x14ac:dyDescent="0.4">
      <c r="A25" t="s">
        <v>236</v>
      </c>
      <c r="B25" s="7">
        <v>25</v>
      </c>
    </row>
    <row r="26" spans="1:2" x14ac:dyDescent="0.4">
      <c r="A26" t="s">
        <v>399</v>
      </c>
      <c r="B26" s="7">
        <v>26</v>
      </c>
    </row>
    <row r="27" spans="1:2" x14ac:dyDescent="0.4">
      <c r="A27" t="s">
        <v>353</v>
      </c>
      <c r="B27" s="7">
        <v>27</v>
      </c>
    </row>
    <row r="28" spans="1:2" x14ac:dyDescent="0.4">
      <c r="A28" t="s">
        <v>359</v>
      </c>
      <c r="B28" s="7">
        <v>28</v>
      </c>
    </row>
    <row r="29" spans="1:2" x14ac:dyDescent="0.4">
      <c r="A29" t="s">
        <v>230</v>
      </c>
      <c r="B29" s="7">
        <v>29</v>
      </c>
    </row>
    <row r="30" spans="1:2" x14ac:dyDescent="0.4">
      <c r="A30" t="s">
        <v>399</v>
      </c>
      <c r="B30" s="7">
        <v>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D15F-3CB4-427A-BF87-F6C7C24F9FE1}">
  <dimension ref="A1:B11"/>
  <sheetViews>
    <sheetView workbookViewId="0"/>
  </sheetViews>
  <sheetFormatPr defaultRowHeight="14.6" x14ac:dyDescent="0.4"/>
  <cols>
    <col min="1" max="1" width="54.3046875" customWidth="1"/>
  </cols>
  <sheetData>
    <row r="1" spans="1:2" ht="14.6" customHeight="1" x14ac:dyDescent="0.4">
      <c r="A1" t="s">
        <v>217</v>
      </c>
      <c r="B1" s="14">
        <v>1</v>
      </c>
    </row>
    <row r="2" spans="1:2" ht="14.6" customHeight="1" x14ac:dyDescent="0.4">
      <c r="A2" t="s">
        <v>216</v>
      </c>
      <c r="B2" s="14">
        <v>2</v>
      </c>
    </row>
    <row r="3" spans="1:2" ht="14.6" customHeight="1" x14ac:dyDescent="0.4">
      <c r="A3" t="s">
        <v>395</v>
      </c>
      <c r="B3" s="14">
        <v>3</v>
      </c>
    </row>
    <row r="4" spans="1:2" ht="14.6" customHeight="1" x14ac:dyDescent="0.4">
      <c r="A4" t="s">
        <v>227</v>
      </c>
      <c r="B4" s="14">
        <v>4</v>
      </c>
    </row>
    <row r="5" spans="1:2" ht="14.6" customHeight="1" x14ac:dyDescent="0.4">
      <c r="A5" t="s">
        <v>220</v>
      </c>
      <c r="B5" s="14">
        <v>5</v>
      </c>
    </row>
    <row r="6" spans="1:2" ht="14.6" customHeight="1" x14ac:dyDescent="0.4">
      <c r="A6" s="15" t="s">
        <v>257</v>
      </c>
      <c r="B6" s="14">
        <v>6</v>
      </c>
    </row>
    <row r="7" spans="1:2" ht="14.6" customHeight="1" x14ac:dyDescent="0.4">
      <c r="A7" t="s">
        <v>219</v>
      </c>
      <c r="B7" s="14">
        <v>6</v>
      </c>
    </row>
    <row r="8" spans="1:2" ht="14.6" customHeight="1" x14ac:dyDescent="0.4">
      <c r="A8" t="s">
        <v>388</v>
      </c>
      <c r="B8" s="14">
        <v>8</v>
      </c>
    </row>
    <row r="9" spans="1:2" ht="14.6" customHeight="1" x14ac:dyDescent="0.4">
      <c r="A9" t="s">
        <v>275</v>
      </c>
      <c r="B9" s="14">
        <v>9</v>
      </c>
    </row>
    <row r="10" spans="1:2" ht="14.6" customHeight="1" x14ac:dyDescent="0.4">
      <c r="A10" t="s">
        <v>397</v>
      </c>
      <c r="B10" s="14">
        <v>10</v>
      </c>
    </row>
    <row r="11" spans="1:2" x14ac:dyDescent="0.4">
      <c r="A11" t="s">
        <v>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E12DF-3116-4001-875B-ECB23C3F0DEB}">
  <dimension ref="A1:I120"/>
  <sheetViews>
    <sheetView tabSelected="1" workbookViewId="0">
      <selection activeCell="B8" sqref="B8"/>
    </sheetView>
  </sheetViews>
  <sheetFormatPr defaultRowHeight="14.6" x14ac:dyDescent="0.4"/>
  <cols>
    <col min="1" max="1" width="72.15234375" style="9" customWidth="1"/>
    <col min="2" max="2" width="28.3828125" style="9" customWidth="1"/>
    <col min="3" max="3" width="17.61328125" style="10" customWidth="1"/>
    <col min="4" max="4" width="25.61328125" style="10" customWidth="1"/>
    <col min="5" max="5" width="14.3828125" style="10" customWidth="1"/>
    <col min="6" max="6" width="13" style="10" customWidth="1"/>
    <col min="7" max="7" width="12.3046875" style="16" customWidth="1"/>
    <col min="8" max="16384" width="9.23046875" style="10"/>
  </cols>
  <sheetData>
    <row r="1" spans="1:9" x14ac:dyDescent="0.4">
      <c r="A1" s="9" t="s">
        <v>381</v>
      </c>
      <c r="B1" s="9" t="s">
        <v>1867</v>
      </c>
      <c r="C1" s="10" t="s">
        <v>382</v>
      </c>
      <c r="D1" s="10" t="s">
        <v>383</v>
      </c>
      <c r="E1" s="10" t="s">
        <v>384</v>
      </c>
      <c r="F1" s="10" t="s">
        <v>385</v>
      </c>
      <c r="G1" s="16" t="s">
        <v>386</v>
      </c>
    </row>
    <row r="2" spans="1:9" x14ac:dyDescent="0.4">
      <c r="A2" s="11" t="s">
        <v>217</v>
      </c>
      <c r="B2" s="11" t="str">
        <f>IFERROR(VLOOKUP(A2, Locations!$A:$B, 2, FALSE), "Check Site")</f>
        <v>United States of America</v>
      </c>
      <c r="C2" s="13">
        <f>IFERROR(VLOOKUP(A2, QS_Data!$A$1:$B$100, 2, FALSE), 101)</f>
        <v>1</v>
      </c>
      <c r="D2" s="12">
        <f>IFERROR(VLOOKUP(A2, ARWU_Data!$A$1:$B$30, 2, FALSE), 101)</f>
        <v>1</v>
      </c>
      <c r="E2" s="12">
        <f>IFERROR(VLOOKUP(A2, CWUR_Data!$A$1:$B$10, 2, FALSE), 101)</f>
        <v>1</v>
      </c>
      <c r="F2" s="12">
        <f>IF(C2&lt;=100, 101-C2, 0) + IF(D2&lt;=30, 101-D2, 0) + IF(E2&lt;=10, 101-E2, 0)</f>
        <v>300</v>
      </c>
      <c r="G2" s="16">
        <f>_xlfn.RANK.EQ(F2, $F$2:$F$176, 0)</f>
        <v>1</v>
      </c>
      <c r="I2" s="13"/>
    </row>
    <row r="3" spans="1:9" x14ac:dyDescent="0.4">
      <c r="A3" s="11" t="s">
        <v>227</v>
      </c>
      <c r="B3" s="11" t="str">
        <f>IFERROR(VLOOKUP(A3, Locations!$A:$B, 2, FALSE), "Check Site")</f>
        <v>United States of America</v>
      </c>
      <c r="C3" s="13">
        <f>IFERROR(VLOOKUP(A3, QS_Data!$A$1:$B$100, 2, FALSE), 101)</f>
        <v>4</v>
      </c>
      <c r="D3" s="12">
        <f>IFERROR(VLOOKUP(A3, ARWU_Data!$A$1:$B$30, 2, FALSE), 101)</f>
        <v>3</v>
      </c>
      <c r="E3" s="12">
        <f>IFERROR(VLOOKUP(A3, CWUR_Data!$A$1:$B$10, 2, FALSE), 101)</f>
        <v>4</v>
      </c>
      <c r="F3" s="12">
        <f>IF(C3&lt;=100, 101-C3, 0) + IF(D3&lt;=30, 101-D3, 0) + IF(E3&lt;=10, 101-E3, 0)</f>
        <v>292</v>
      </c>
      <c r="G3" s="16">
        <f>_xlfn.RANK.EQ(F3, $F$2:$F$176, 0)</f>
        <v>2</v>
      </c>
    </row>
    <row r="4" spans="1:9" x14ac:dyDescent="0.4">
      <c r="A4" s="11" t="s">
        <v>216</v>
      </c>
      <c r="B4" s="11" t="str">
        <f>IFERROR(VLOOKUP(A4, Locations!$A:$B, 2, FALSE), "Check Site")</f>
        <v>United Kingdom</v>
      </c>
      <c r="C4" s="13">
        <f>IFERROR(VLOOKUP(A4, QS_Data!$A$1:$B$100, 2, FALSE), 101)</f>
        <v>2</v>
      </c>
      <c r="D4" s="12">
        <f>IFERROR(VLOOKUP(A4, ARWU_Data!$A$1:$B$30, 2, FALSE), 101)</f>
        <v>10</v>
      </c>
      <c r="E4" s="12">
        <f>IFERROR(VLOOKUP(A4, CWUR_Data!$A$1:$B$10, 2, FALSE), 101)</f>
        <v>2</v>
      </c>
      <c r="F4" s="12">
        <f>IF(C4&lt;=100, 101-C4, 0) + IF(D4&lt;=30, 101-D4, 0) + IF(E4&lt;=10, 101-E4, 0)</f>
        <v>289</v>
      </c>
      <c r="G4" s="16">
        <f>_xlfn.RANK.EQ(F4, $F$2:$F$176, 0)</f>
        <v>3</v>
      </c>
    </row>
    <row r="5" spans="1:9" x14ac:dyDescent="0.4">
      <c r="A5" s="11" t="s">
        <v>219</v>
      </c>
      <c r="B5" s="11" t="str">
        <f>IFERROR(VLOOKUP(A5, Locations!$A:$B, 2, FALSE), "Check Site")</f>
        <v>United States of America</v>
      </c>
      <c r="C5" s="13">
        <f>IFERROR(VLOOKUP(A5, QS_Data!$A$1:$B$100, 2, FALSE), 101)</f>
        <v>6</v>
      </c>
      <c r="D5" s="12">
        <f>IFERROR(VLOOKUP(A5, ARWU_Data!$A$1:$B$30, 2, FALSE), 101)</f>
        <v>2</v>
      </c>
      <c r="E5" s="12">
        <f>IFERROR(VLOOKUP(A5, CWUR_Data!$A$1:$B$10, 2, FALSE), 101)</f>
        <v>6</v>
      </c>
      <c r="F5" s="12">
        <f>IF(C5&lt;=100, 101-C5, 0) + IF(D5&lt;=30, 101-D5, 0) + IF(E5&lt;=10, 101-E5, 0)</f>
        <v>289</v>
      </c>
      <c r="G5" s="16">
        <f>_xlfn.RANK.EQ(F5, $F$2:$F$176, 0)</f>
        <v>3</v>
      </c>
    </row>
    <row r="6" spans="1:9" x14ac:dyDescent="0.4">
      <c r="A6" s="11" t="s">
        <v>257</v>
      </c>
      <c r="B6" s="11" t="str">
        <f>IFERROR(VLOOKUP(A6, Locations!$A:$B, 2, FALSE), "Check Site")</f>
        <v>Check Site</v>
      </c>
      <c r="C6" s="13">
        <f>IFERROR(VLOOKUP(A6, QS_Data!$A$1:$B$100, 2, FALSE), 101)</f>
        <v>5</v>
      </c>
      <c r="D6" s="12">
        <f>IFERROR(VLOOKUP(A6, ARWU_Data!$A$1:$B$30, 2, FALSE), 101)</f>
        <v>5</v>
      </c>
      <c r="E6" s="12">
        <f>IFERROR(VLOOKUP(A6, CWUR_Data!$A$1:$B$10, 2, FALSE), 101)</f>
        <v>6</v>
      </c>
      <c r="F6" s="12">
        <f>IF(C6&lt;=100, 101-C6, 0) + IF(D6&lt;=30, 101-D6, 0) + IF(E6&lt;=10, 101-E6, 0)</f>
        <v>287</v>
      </c>
      <c r="G6" s="16">
        <f>_xlfn.RANK.EQ(F6, $F$2:$F$176, 0)</f>
        <v>5</v>
      </c>
    </row>
    <row r="7" spans="1:9" x14ac:dyDescent="0.4">
      <c r="A7" s="11" t="s">
        <v>220</v>
      </c>
      <c r="B7" s="11" t="str">
        <f>IFERROR(VLOOKUP(A7, Locations!$A:$B, 2, FALSE), "Check Site")</f>
        <v>United States of America</v>
      </c>
      <c r="C7" s="13">
        <f>IFERROR(VLOOKUP(A7, QS_Data!$A$1:$B$100, 2, FALSE), 101)</f>
        <v>8</v>
      </c>
      <c r="D7" s="12">
        <f>IFERROR(VLOOKUP(A7, ARWU_Data!$A$1:$B$30, 2, FALSE), 101)</f>
        <v>20</v>
      </c>
      <c r="E7" s="12">
        <f>IFERROR(VLOOKUP(A7, CWUR_Data!$A$1:$B$10, 2, FALSE), 101)</f>
        <v>5</v>
      </c>
      <c r="F7" s="12">
        <f>IF(C7&lt;=100, 101-C7, 0) + IF(D7&lt;=30, 101-D7, 0) + IF(E7&lt;=10, 101-E7, 0)</f>
        <v>270</v>
      </c>
      <c r="G7" s="16">
        <f>_xlfn.RANK.EQ(F7, $F$2:$F$176, 0)</f>
        <v>6</v>
      </c>
    </row>
    <row r="8" spans="1:9" x14ac:dyDescent="0.4">
      <c r="A8" s="9" t="s">
        <v>388</v>
      </c>
      <c r="B8" s="11" t="str">
        <f>IFERROR(VLOOKUP(A8, Locations!$A:$B, 2, FALSE), "Check Site")</f>
        <v>United States of America</v>
      </c>
      <c r="C8" s="13">
        <f>IFERROR(VLOOKUP(A8, QS_Data!$A$1:$B$100, 2, FALSE), 101)</f>
        <v>101</v>
      </c>
      <c r="D8" s="12">
        <f>IFERROR(VLOOKUP(A8, ARWU_Data!$A$1:$B$30, 2, FALSE), 101)</f>
        <v>7</v>
      </c>
      <c r="E8" s="12">
        <f>IFERROR(VLOOKUP(A8, CWUR_Data!$A$1:$B$10, 2, FALSE), 101)</f>
        <v>8</v>
      </c>
      <c r="F8" s="12">
        <f>IF(C8&lt;=100, 101-C8, 0) + IF(D8&lt;=30, 101-D8, 0) + IF(E8&lt;=10, 101-E8, 0)</f>
        <v>187</v>
      </c>
      <c r="G8" s="16">
        <f>_xlfn.RANK.EQ(F8, $F$2:$F$176, 0)</f>
        <v>7</v>
      </c>
    </row>
    <row r="9" spans="1:9" x14ac:dyDescent="0.4">
      <c r="A9" s="11" t="s">
        <v>221</v>
      </c>
      <c r="B9" s="11" t="str">
        <f>IFERROR(VLOOKUP(A9, Locations!$A:$B, 2, FALSE), "Check Site")</f>
        <v>United States of America</v>
      </c>
      <c r="C9" s="13">
        <f>IFERROR(VLOOKUP(A9, QS_Data!$A$1:$B$100, 2, FALSE), 101)</f>
        <v>12</v>
      </c>
      <c r="D9" s="12">
        <f>IFERROR(VLOOKUP(A9, ARWU_Data!$A$1:$B$30, 2, FALSE), 101)</f>
        <v>4</v>
      </c>
      <c r="E9" s="12">
        <f>IFERROR(VLOOKUP(A9, CWUR_Data!$A$1:$B$10, 2, FALSE), 101)</f>
        <v>101</v>
      </c>
      <c r="F9" s="12">
        <f>IF(C9&lt;=100, 101-C9, 0) + IF(D9&lt;=30, 101-D9, 0) + IF(E9&lt;=10, 101-E9, 0)</f>
        <v>186</v>
      </c>
      <c r="G9" s="16">
        <f>_xlfn.RANK.EQ(F9, $F$2:$F$176, 0)</f>
        <v>8</v>
      </c>
    </row>
    <row r="10" spans="1:9" x14ac:dyDescent="0.4">
      <c r="A10" s="9" t="s">
        <v>395</v>
      </c>
      <c r="B10" s="11" t="str">
        <f>IFERROR(VLOOKUP(A10, Locations!$A:$B, 2, FALSE), "Check Site")</f>
        <v>United States of America</v>
      </c>
      <c r="C10" s="13">
        <f>IFERROR(VLOOKUP(A10, QS_Data!$A$1:$B$100, 2, FALSE), 101)</f>
        <v>101</v>
      </c>
      <c r="D10" s="12">
        <f>IFERROR(VLOOKUP(A10, ARWU_Data!$A$1:$B$30, 2, FALSE), 101)</f>
        <v>18</v>
      </c>
      <c r="E10" s="12">
        <f>IFERROR(VLOOKUP(A10, CWUR_Data!$A$1:$B$10, 2, FALSE), 101)</f>
        <v>3</v>
      </c>
      <c r="F10" s="12">
        <f>IF(C10&lt;=100, 101-C10, 0) + IF(D10&lt;=30, 101-D10, 0) + IF(E10&lt;=10, 101-E10, 0)</f>
        <v>181</v>
      </c>
      <c r="G10" s="16">
        <f>_xlfn.RANK.EQ(F10, $F$2:$F$176, 0)</f>
        <v>9</v>
      </c>
    </row>
    <row r="11" spans="1:9" x14ac:dyDescent="0.4">
      <c r="A11" s="11" t="s">
        <v>236</v>
      </c>
      <c r="B11" s="11" t="str">
        <f>IFERROR(VLOOKUP(A11, Locations!$A:$B, 2, FALSE), "Check Site")</f>
        <v>United Kingdom</v>
      </c>
      <c r="C11" s="13">
        <f>IFERROR(VLOOKUP(A11, QS_Data!$A$1:$B$100, 2, FALSE), 101)</f>
        <v>11</v>
      </c>
      <c r="D11" s="12">
        <f>IFERROR(VLOOKUP(A11, ARWU_Data!$A$1:$B$30, 2, FALSE), 101)</f>
        <v>25</v>
      </c>
      <c r="E11" s="12">
        <f>IFERROR(VLOOKUP(A11, CWUR_Data!$A$1:$B$10, 2, FALSE), 101)</f>
        <v>101</v>
      </c>
      <c r="F11" s="12">
        <f>IF(C11&lt;=100, 101-C11, 0) + IF(D11&lt;=30, 101-D11, 0) + IF(E11&lt;=10, 101-E11, 0)</f>
        <v>166</v>
      </c>
      <c r="G11" s="16">
        <f>_xlfn.RANK.EQ(F11, $F$2:$F$176, 0)</f>
        <v>10</v>
      </c>
    </row>
    <row r="12" spans="1:9" x14ac:dyDescent="0.4">
      <c r="A12" s="11" t="s">
        <v>229</v>
      </c>
      <c r="B12" s="11" t="str">
        <f>IFERROR(VLOOKUP(A12, Locations!$A:$B, 2, FALSE), "Check Site")</f>
        <v>Canada</v>
      </c>
      <c r="C12" s="13">
        <f>IFERROR(VLOOKUP(A12, QS_Data!$A$1:$B$100, 2, FALSE), 101)</f>
        <v>22</v>
      </c>
      <c r="D12" s="12">
        <f>IFERROR(VLOOKUP(A12, ARWU_Data!$A$1:$B$30, 2, FALSE), 101)</f>
        <v>14</v>
      </c>
      <c r="E12" s="12">
        <f>IFERROR(VLOOKUP(A12, CWUR_Data!$A$1:$B$10, 2, FALSE), 101)</f>
        <v>101</v>
      </c>
      <c r="F12" s="12">
        <f>IF(C12&lt;=100, 101-C12, 0) + IF(D12&lt;=30, 101-D12, 0) + IF(E12&lt;=10, 101-E12, 0)</f>
        <v>166</v>
      </c>
      <c r="G12" s="16">
        <f>_xlfn.RANK.EQ(F12, $F$2:$F$176, 0)</f>
        <v>10</v>
      </c>
    </row>
    <row r="13" spans="1:9" x14ac:dyDescent="0.4">
      <c r="A13" s="11" t="s">
        <v>353</v>
      </c>
      <c r="B13" s="11" t="str">
        <f>IFERROR(VLOOKUP(A13, Locations!$A:$B, 2, FALSE), "Check Site")</f>
        <v>United States of America</v>
      </c>
      <c r="C13" s="13">
        <f>IFERROR(VLOOKUP(A13, QS_Data!$A$1:$B$100, 2, FALSE), 101)</f>
        <v>10</v>
      </c>
      <c r="D13" s="12">
        <f>IFERROR(VLOOKUP(A13, ARWU_Data!$A$1:$B$30, 2, FALSE), 101)</f>
        <v>27</v>
      </c>
      <c r="E13" s="12">
        <f>IFERROR(VLOOKUP(A13, CWUR_Data!$A$1:$B$10, 2, FALSE), 101)</f>
        <v>101</v>
      </c>
      <c r="F13" s="12">
        <f>IF(C13&lt;=100, 101-C13, 0) + IF(D13&lt;=30, 101-D13, 0) + IF(E13&lt;=10, 101-E13, 0)</f>
        <v>165</v>
      </c>
      <c r="G13" s="16">
        <f>_xlfn.RANK.EQ(F13, $F$2:$F$176, 0)</f>
        <v>12</v>
      </c>
    </row>
    <row r="14" spans="1:9" x14ac:dyDescent="0.4">
      <c r="A14" s="11" t="s">
        <v>354</v>
      </c>
      <c r="B14" s="11" t="str">
        <f>IFERROR(VLOOKUP(A14, Locations!$A:$B, 2, FALSE), "Check Site")</f>
        <v>United States of America</v>
      </c>
      <c r="C14" s="13">
        <f>IFERROR(VLOOKUP(A14, QS_Data!$A$1:$B$100, 2, FALSE), 101)</f>
        <v>21</v>
      </c>
      <c r="D14" s="12">
        <f>IFERROR(VLOOKUP(A14, ARWU_Data!$A$1:$B$30, 2, FALSE), 101)</f>
        <v>16</v>
      </c>
      <c r="E14" s="12">
        <f>IFERROR(VLOOKUP(A14, CWUR_Data!$A$1:$B$10, 2, FALSE), 101)</f>
        <v>101</v>
      </c>
      <c r="F14" s="12">
        <f>IF(C14&lt;=100, 101-C14, 0) + IF(D14&lt;=30, 101-D14, 0) + IF(E14&lt;=10, 101-E14, 0)</f>
        <v>165</v>
      </c>
      <c r="G14" s="16">
        <f>_xlfn.RANK.EQ(F14, $F$2:$F$176, 0)</f>
        <v>12</v>
      </c>
    </row>
    <row r="15" spans="1:9" x14ac:dyDescent="0.4">
      <c r="A15" s="11" t="s">
        <v>356</v>
      </c>
      <c r="B15" s="11" t="str">
        <f>IFERROR(VLOOKUP(A15, Locations!$A:$B, 2, FALSE), "Check Site")</f>
        <v>Check Site</v>
      </c>
      <c r="C15" s="13">
        <f>IFERROR(VLOOKUP(A15, QS_Data!$A$1:$B$100, 2, FALSE), 101)</f>
        <v>31</v>
      </c>
      <c r="D15" s="12">
        <f>IFERROR(VLOOKUP(A15, ARWU_Data!$A$1:$B$30, 2, FALSE), 101)</f>
        <v>6</v>
      </c>
      <c r="E15" s="12">
        <f>IFERROR(VLOOKUP(A15, CWUR_Data!$A$1:$B$10, 2, FALSE), 101)</f>
        <v>101</v>
      </c>
      <c r="F15" s="12">
        <f>IF(C15&lt;=100, 101-C15, 0) + IF(D15&lt;=30, 101-D15, 0) + IF(E15&lt;=10, 101-E15, 0)</f>
        <v>165</v>
      </c>
      <c r="G15" s="16">
        <f>_xlfn.RANK.EQ(F15, $F$2:$F$176, 0)</f>
        <v>12</v>
      </c>
    </row>
    <row r="16" spans="1:9" x14ac:dyDescent="0.4">
      <c r="A16" s="11" t="s">
        <v>230</v>
      </c>
      <c r="B16" s="11" t="str">
        <f>IFERROR(VLOOKUP(A16, Locations!$A:$B, 2, FALSE), "Check Site")</f>
        <v>United States of America</v>
      </c>
      <c r="C16" s="13">
        <f>IFERROR(VLOOKUP(A16, QS_Data!$A$1:$B$100, 2, FALSE), 101)</f>
        <v>19</v>
      </c>
      <c r="D16" s="12">
        <f>IFERROR(VLOOKUP(A16, ARWU_Data!$A$1:$B$30, 2, FALSE), 101)</f>
        <v>29</v>
      </c>
      <c r="E16" s="12">
        <f>IFERROR(VLOOKUP(A16, CWUR_Data!$A$1:$B$10, 2, FALSE), 101)</f>
        <v>101</v>
      </c>
      <c r="F16" s="12">
        <f>IF(C16&lt;=100, 101-C16, 0) + IF(D16&lt;=30, 101-D16, 0) + IF(E16&lt;=10, 101-E16, 0)</f>
        <v>154</v>
      </c>
      <c r="G16" s="16">
        <f>_xlfn.RANK.EQ(F16, $F$2:$F$176, 0)</f>
        <v>15</v>
      </c>
    </row>
    <row r="17" spans="1:7" x14ac:dyDescent="0.4">
      <c r="A17" s="11" t="s">
        <v>251</v>
      </c>
      <c r="B17" s="11" t="str">
        <f>IFERROR(VLOOKUP(A17, Locations!$A:$B, 2, FALSE), "Check Site")</f>
        <v>United States of America</v>
      </c>
      <c r="C17" s="13">
        <f>IFERROR(VLOOKUP(A17, QS_Data!$A$1:$B$100, 2, FALSE), 101)</f>
        <v>32</v>
      </c>
      <c r="D17" s="12">
        <f>IFERROR(VLOOKUP(A17, ARWU_Data!$A$1:$B$30, 2, FALSE), 101)</f>
        <v>17</v>
      </c>
      <c r="E17" s="12">
        <f>IFERROR(VLOOKUP(A17, CWUR_Data!$A$1:$B$10, 2, FALSE), 101)</f>
        <v>101</v>
      </c>
      <c r="F17" s="12">
        <f>IF(C17&lt;=100, 101-C17, 0) + IF(D17&lt;=30, 101-D17, 0) + IF(E17&lt;=10, 101-E17, 0)</f>
        <v>153</v>
      </c>
      <c r="G17" s="16">
        <f>_xlfn.RANK.EQ(F17, $F$2:$F$176, 0)</f>
        <v>16</v>
      </c>
    </row>
    <row r="18" spans="1:7" x14ac:dyDescent="0.4">
      <c r="A18" s="11" t="s">
        <v>275</v>
      </c>
      <c r="B18" s="11" t="str">
        <f>IFERROR(VLOOKUP(A18, Locations!$A:$B, 2, FALSE), "Check Site")</f>
        <v>United States of America</v>
      </c>
      <c r="C18" s="13">
        <f>IFERROR(VLOOKUP(A18, QS_Data!$A$1:$B$100, 2, FALSE), 101)</f>
        <v>44</v>
      </c>
      <c r="D18" s="12">
        <f>IFERROR(VLOOKUP(A18, ARWU_Data!$A$1:$B$30, 2, FALSE), 101)</f>
        <v>101</v>
      </c>
      <c r="E18" s="12">
        <f>IFERROR(VLOOKUP(A18, CWUR_Data!$A$1:$B$10, 2, FALSE), 101)</f>
        <v>9</v>
      </c>
      <c r="F18" s="12">
        <f>IF(C18&lt;=100, 101-C18, 0) + IF(D18&lt;=30, 101-D18, 0) + IF(E18&lt;=10, 101-E18, 0)</f>
        <v>149</v>
      </c>
      <c r="G18" s="16">
        <f>_xlfn.RANK.EQ(F18, $F$2:$F$176, 0)</f>
        <v>17</v>
      </c>
    </row>
    <row r="19" spans="1:7" x14ac:dyDescent="0.4">
      <c r="A19" s="11" t="s">
        <v>359</v>
      </c>
      <c r="B19" s="11" t="str">
        <f>IFERROR(VLOOKUP(A19, Locations!$A:$B, 2, FALSE), "Check Site")</f>
        <v>Switzerland</v>
      </c>
      <c r="C19" s="13">
        <f>IFERROR(VLOOKUP(A19, QS_Data!$A$1:$B$100, 2, FALSE), 101)</f>
        <v>47</v>
      </c>
      <c r="D19" s="12">
        <f>IFERROR(VLOOKUP(A19, ARWU_Data!$A$1:$B$30, 2, FALSE), 101)</f>
        <v>28</v>
      </c>
      <c r="E19" s="12">
        <f>IFERROR(VLOOKUP(A19, CWUR_Data!$A$1:$B$10, 2, FALSE), 101)</f>
        <v>101</v>
      </c>
      <c r="F19" s="12">
        <f>IF(C19&lt;=100, 101-C19, 0) + IF(D19&lt;=30, 101-D19, 0) + IF(E19&lt;=10, 101-E19, 0)</f>
        <v>127</v>
      </c>
      <c r="G19" s="16">
        <f>_xlfn.RANK.EQ(F19, $F$2:$F$176, 0)</f>
        <v>18</v>
      </c>
    </row>
    <row r="20" spans="1:7" x14ac:dyDescent="0.4">
      <c r="A20" s="11" t="s">
        <v>231</v>
      </c>
      <c r="B20" s="11" t="str">
        <f>IFERROR(VLOOKUP(A20, Locations!$A:$B, 2, FALSE), "Check Site")</f>
        <v>Australia</v>
      </c>
      <c r="C20" s="13">
        <f>IFERROR(VLOOKUP(A20, QS_Data!$A$1:$B$100, 2, FALSE), 101)</f>
        <v>55</v>
      </c>
      <c r="D20" s="12">
        <f>IFERROR(VLOOKUP(A20, ARWU_Data!$A$1:$B$30, 2, FALSE), 101)</f>
        <v>23</v>
      </c>
      <c r="E20" s="12">
        <f>IFERROR(VLOOKUP(A20, CWUR_Data!$A$1:$B$10, 2, FALSE), 101)</f>
        <v>101</v>
      </c>
      <c r="F20" s="12">
        <f>IF(C20&lt;=100, 101-C20, 0) + IF(D20&lt;=30, 101-D20, 0) + IF(E20&lt;=10, 101-E20, 0)</f>
        <v>124</v>
      </c>
      <c r="G20" s="16">
        <f>_xlfn.RANK.EQ(F20, $F$2:$F$176, 0)</f>
        <v>19</v>
      </c>
    </row>
    <row r="21" spans="1:7" x14ac:dyDescent="0.4">
      <c r="A21" s="11" t="s">
        <v>248</v>
      </c>
      <c r="B21" s="11" t="str">
        <f>IFERROR(VLOOKUP(A21, Locations!$A:$B, 2, FALSE), "Check Site")</f>
        <v>United States of America</v>
      </c>
      <c r="C21" s="13">
        <f>IFERROR(VLOOKUP(A21, QS_Data!$A$1:$B$100, 2, FALSE), 101)</f>
        <v>66</v>
      </c>
      <c r="D21" s="12">
        <f>IFERROR(VLOOKUP(A21, ARWU_Data!$A$1:$B$30, 2, FALSE), 101)</f>
        <v>12</v>
      </c>
      <c r="E21" s="12">
        <f>IFERROR(VLOOKUP(A21, CWUR_Data!$A$1:$B$10, 2, FALSE), 101)</f>
        <v>101</v>
      </c>
      <c r="F21" s="12">
        <f>IF(C21&lt;=100, 101-C21, 0) + IF(D21&lt;=30, 101-D21, 0) + IF(E21&lt;=10, 101-E21, 0)</f>
        <v>124</v>
      </c>
      <c r="G21" s="16">
        <f>_xlfn.RANK.EQ(F21, $F$2:$F$176, 0)</f>
        <v>19</v>
      </c>
    </row>
    <row r="22" spans="1:7" x14ac:dyDescent="0.4">
      <c r="A22" s="11" t="s">
        <v>362</v>
      </c>
      <c r="B22" s="11" t="str">
        <f>IFERROR(VLOOKUP(A22, Locations!$A:$B, 2, FALSE), "Check Site")</f>
        <v>Denmark</v>
      </c>
      <c r="C22" s="13">
        <f>IFERROR(VLOOKUP(A22, QS_Data!$A$1:$B$100, 2, FALSE), 101)</f>
        <v>66</v>
      </c>
      <c r="D22" s="12">
        <f>IFERROR(VLOOKUP(A22, ARWU_Data!$A$1:$B$30, 2, FALSE), 101)</f>
        <v>21</v>
      </c>
      <c r="E22" s="12">
        <f>IFERROR(VLOOKUP(A22, CWUR_Data!$A$1:$B$10, 2, FALSE), 101)</f>
        <v>101</v>
      </c>
      <c r="F22" s="12">
        <f>IF(C22&lt;=100, 101-C22, 0) + IF(D22&lt;=30, 101-D22, 0) + IF(E22&lt;=10, 101-E22, 0)</f>
        <v>115</v>
      </c>
      <c r="G22" s="16">
        <f>_xlfn.RANK.EQ(F22, $F$2:$F$176, 0)</f>
        <v>21</v>
      </c>
    </row>
    <row r="23" spans="1:7" x14ac:dyDescent="0.4">
      <c r="A23" s="11" t="s">
        <v>352</v>
      </c>
      <c r="B23" s="11" t="str">
        <f>IFERROR(VLOOKUP(A23, Locations!$A:$B, 2, FALSE), "Check Site")</f>
        <v>Check Site</v>
      </c>
      <c r="C23" s="13">
        <f>IFERROR(VLOOKUP(A23, QS_Data!$A$1:$B$100, 2, FALSE), 101)</f>
        <v>3</v>
      </c>
      <c r="D23" s="12">
        <f>IFERROR(VLOOKUP(A23, ARWU_Data!$A$1:$B$30, 2, FALSE), 101)</f>
        <v>101</v>
      </c>
      <c r="E23" s="12">
        <f>IFERROR(VLOOKUP(A23, CWUR_Data!$A$1:$B$10, 2, FALSE), 101)</f>
        <v>101</v>
      </c>
      <c r="F23" s="12">
        <f>IF(C23&lt;=100, 101-C23, 0) + IF(D23&lt;=30, 101-D23, 0) + IF(E23&lt;=10, 101-E23, 0)</f>
        <v>98</v>
      </c>
      <c r="G23" s="16">
        <f>_xlfn.RANK.EQ(F23, $F$2:$F$176, 0)</f>
        <v>22</v>
      </c>
    </row>
    <row r="24" spans="1:7" x14ac:dyDescent="0.4">
      <c r="A24" s="11" t="s">
        <v>218</v>
      </c>
      <c r="B24" s="11" t="str">
        <f>IFERROR(VLOOKUP(A24, Locations!$A:$B, 2, FALSE), "Check Site")</f>
        <v>United Kingdom</v>
      </c>
      <c r="C24" s="13">
        <f>IFERROR(VLOOKUP(A24, QS_Data!$A$1:$B$100, 2, FALSE), 101)</f>
        <v>7</v>
      </c>
      <c r="D24" s="12">
        <f>IFERROR(VLOOKUP(A24, ARWU_Data!$A$1:$B$30, 2, FALSE), 101)</f>
        <v>101</v>
      </c>
      <c r="E24" s="12">
        <f>IFERROR(VLOOKUP(A24, CWUR_Data!$A$1:$B$10, 2, FALSE), 101)</f>
        <v>101</v>
      </c>
      <c r="F24" s="12">
        <f>IF(C24&lt;=100, 101-C24, 0) + IF(D24&lt;=30, 101-D24, 0) + IF(E24&lt;=10, 101-E24, 0)</f>
        <v>94</v>
      </c>
      <c r="G24" s="16">
        <f>_xlfn.RANK.EQ(F24, $F$2:$F$176, 0)</f>
        <v>23</v>
      </c>
    </row>
    <row r="25" spans="1:7" x14ac:dyDescent="0.4">
      <c r="A25" s="11" t="s">
        <v>232</v>
      </c>
      <c r="B25" s="11" t="str">
        <f>IFERROR(VLOOKUP(A25, Locations!$A:$B, 2, FALSE), "Check Site")</f>
        <v>Singapore</v>
      </c>
      <c r="C25" s="13">
        <f>IFERROR(VLOOKUP(A25, QS_Data!$A$1:$B$100, 2, FALSE), 101)</f>
        <v>9</v>
      </c>
      <c r="D25" s="12">
        <f>IFERROR(VLOOKUP(A25, ARWU_Data!$A$1:$B$30, 2, FALSE), 101)</f>
        <v>101</v>
      </c>
      <c r="E25" s="12">
        <f>IFERROR(VLOOKUP(A25, CWUR_Data!$A$1:$B$10, 2, FALSE), 101)</f>
        <v>101</v>
      </c>
      <c r="F25" s="12">
        <f>IF(C25&lt;=100, 101-C25, 0) + IF(D25&lt;=30, 101-D25, 0) + IF(E25&lt;=10, 101-E25, 0)</f>
        <v>92</v>
      </c>
      <c r="G25" s="16">
        <f>_xlfn.RANK.EQ(F25, $F$2:$F$176, 0)</f>
        <v>24</v>
      </c>
    </row>
    <row r="26" spans="1:7" x14ac:dyDescent="0.4">
      <c r="A26" s="9" t="s">
        <v>397</v>
      </c>
      <c r="B26" s="11" t="str">
        <f>IFERROR(VLOOKUP(A26, Locations!$A:$B, 2, FALSE), "Check Site")</f>
        <v>United Kingdom</v>
      </c>
      <c r="C26" s="13">
        <f>IFERROR(VLOOKUP(A26, QS_Data!$A$1:$B$100, 2, FALSE), 101)</f>
        <v>101</v>
      </c>
      <c r="D26" s="12">
        <f>IFERROR(VLOOKUP(A26, ARWU_Data!$A$1:$B$30, 2, FALSE), 101)</f>
        <v>101</v>
      </c>
      <c r="E26" s="12">
        <f>IFERROR(VLOOKUP(A26, CWUR_Data!$A$1:$B$10, 2, FALSE), 101)</f>
        <v>10</v>
      </c>
      <c r="F26" s="12">
        <f>IF(C26&lt;=100, 101-C26, 0) + IF(D26&lt;=30, 101-D26, 0) + IF(E26&lt;=10, 101-E26, 0)</f>
        <v>91</v>
      </c>
      <c r="G26" s="16">
        <f>_xlfn.RANK.EQ(F26, $F$2:$F$176, 0)</f>
        <v>25</v>
      </c>
    </row>
    <row r="27" spans="1:7" x14ac:dyDescent="0.4">
      <c r="A27" s="21" t="s">
        <v>397</v>
      </c>
      <c r="B27" s="11" t="str">
        <f>IFERROR(VLOOKUP(A27, Locations!$A:$B, 2, FALSE), "Check Site")</f>
        <v>United Kingdom</v>
      </c>
      <c r="C27" s="13">
        <f>IFERROR(VLOOKUP(A27, QS_Data!$A$1:$B$100, 2, FALSE), 101)</f>
        <v>101</v>
      </c>
      <c r="D27" s="12">
        <f>IFERROR(VLOOKUP(A27, ARWU_Data!$A$1:$B$30, 2, FALSE), 101)</f>
        <v>101</v>
      </c>
      <c r="E27" s="12">
        <f>IFERROR(VLOOKUP(A27, CWUR_Data!$A$1:$B$10, 2, FALSE), 101)</f>
        <v>10</v>
      </c>
      <c r="F27" s="12">
        <f>IF(C27&lt;=100, 101-C27, 0) + IF(D27&lt;=30, 101-D27, 0) + IF(E27&lt;=10, 101-E27, 0)</f>
        <v>91</v>
      </c>
      <c r="G27" s="16">
        <f>_xlfn.RANK.EQ(F27, $F$2:$F$176, 0)</f>
        <v>25</v>
      </c>
    </row>
    <row r="28" spans="1:7" x14ac:dyDescent="0.4">
      <c r="A28" s="23" t="s">
        <v>325</v>
      </c>
      <c r="B28" s="11" t="str">
        <f>IFERROR(VLOOKUP(A28, Locations!$A:$B, 2, FALSE), "Check Site")</f>
        <v>United States of America</v>
      </c>
      <c r="C28" s="13">
        <f>IFERROR(VLOOKUP(A28, QS_Data!$A$1:$B$100, 2, FALSE), 101)</f>
        <v>101</v>
      </c>
      <c r="D28" s="12">
        <f>IFERROR(VLOOKUP(A28, ARWU_Data!$A$1:$B$30, 2, FALSE), 101)</f>
        <v>11</v>
      </c>
      <c r="E28" s="12">
        <f>IFERROR(VLOOKUP(A28, CWUR_Data!$A$1:$B$10, 2, FALSE), 101)</f>
        <v>101</v>
      </c>
      <c r="F28" s="12">
        <f>IF(C28&lt;=100, 101-C28, 0) + IF(D28&lt;=30, 101-D28, 0) + IF(E28&lt;=10, 101-E28, 0)</f>
        <v>90</v>
      </c>
      <c r="G28" s="16">
        <f>_xlfn.RANK.EQ(F28, $F$2:$F$176, 0)</f>
        <v>27</v>
      </c>
    </row>
    <row r="29" spans="1:7" x14ac:dyDescent="0.4">
      <c r="A29" s="11" t="s">
        <v>254</v>
      </c>
      <c r="B29" s="11" t="str">
        <f>IFERROR(VLOOKUP(A29, Locations!$A:$B, 2, FALSE), "Check Site")</f>
        <v>Netherlands</v>
      </c>
      <c r="C29" s="13">
        <f>IFERROR(VLOOKUP(A29, QS_Data!$A$1:$B$100, 2, FALSE), 101)</f>
        <v>15</v>
      </c>
      <c r="D29" s="12">
        <f>IFERROR(VLOOKUP(A29, ARWU_Data!$A$1:$B$30, 2, FALSE), 101)</f>
        <v>101</v>
      </c>
      <c r="E29" s="12">
        <f>IFERROR(VLOOKUP(A29, CWUR_Data!$A$1:$B$10, 2, FALSE), 101)</f>
        <v>101</v>
      </c>
      <c r="F29" s="12">
        <f>IF(C29&lt;=100, 101-C29, 0) + IF(D29&lt;=30, 101-D29, 0) + IF(E29&lt;=10, 101-E29, 0)</f>
        <v>86</v>
      </c>
      <c r="G29" s="16">
        <f>_xlfn.RANK.EQ(F29, $F$2:$F$176, 0)</f>
        <v>28</v>
      </c>
    </row>
    <row r="30" spans="1:7" x14ac:dyDescent="0.4">
      <c r="A30" s="9" t="s">
        <v>392</v>
      </c>
      <c r="B30" s="11" t="str">
        <f>IFERROR(VLOOKUP(A30, Locations!$A:$B, 2, FALSE), "Check Site")</f>
        <v>Check Site</v>
      </c>
      <c r="C30" s="13">
        <f>IFERROR(VLOOKUP(A30, QS_Data!$A$1:$B$100, 2, FALSE), 101)</f>
        <v>101</v>
      </c>
      <c r="D30" s="12">
        <f>IFERROR(VLOOKUP(A30, ARWU_Data!$A$1:$B$30, 2, FALSE), 101)</f>
        <v>15</v>
      </c>
      <c r="E30" s="12">
        <f>IFERROR(VLOOKUP(A30, CWUR_Data!$A$1:$B$10, 2, FALSE), 101)</f>
        <v>101</v>
      </c>
      <c r="F30" s="12">
        <f>IF(C30&lt;=100, 101-C30, 0) + IF(D30&lt;=30, 101-D30, 0) + IF(E30&lt;=10, 101-E30, 0)</f>
        <v>86</v>
      </c>
      <c r="G30" s="16">
        <f>_xlfn.RANK.EQ(F30, $F$2:$F$176, 0)</f>
        <v>28</v>
      </c>
    </row>
    <row r="31" spans="1:7" x14ac:dyDescent="0.4">
      <c r="A31" s="11" t="s">
        <v>296</v>
      </c>
      <c r="B31" s="11" t="str">
        <f>IFERROR(VLOOKUP(A31, Locations!$A:$B, 2, FALSE), "Check Site")</f>
        <v>United Kingdom</v>
      </c>
      <c r="C31" s="13">
        <f>IFERROR(VLOOKUP(A31, QS_Data!$A$1:$B$100, 2, FALSE), 101)</f>
        <v>16</v>
      </c>
      <c r="D31" s="12">
        <f>IFERROR(VLOOKUP(A31, ARWU_Data!$A$1:$B$30, 2, FALSE), 101)</f>
        <v>101</v>
      </c>
      <c r="E31" s="12">
        <f>IFERROR(VLOOKUP(A31, CWUR_Data!$A$1:$B$10, 2, FALSE), 101)</f>
        <v>101</v>
      </c>
      <c r="F31" s="12">
        <f>IF(C31&lt;=100, 101-C31, 0) + IF(D31&lt;=30, 101-D31, 0) + IF(E31&lt;=10, 101-E31, 0)</f>
        <v>85</v>
      </c>
      <c r="G31" s="16">
        <f>_xlfn.RANK.EQ(F31, $F$2:$F$176, 0)</f>
        <v>30</v>
      </c>
    </row>
    <row r="32" spans="1:7" x14ac:dyDescent="0.4">
      <c r="A32" s="11" t="s">
        <v>228</v>
      </c>
      <c r="B32" s="11" t="str">
        <f>IFERROR(VLOOKUP(A32, Locations!$A:$B, 2, FALSE), "Check Site")</f>
        <v>United States of America</v>
      </c>
      <c r="C32" s="13">
        <f>IFERROR(VLOOKUP(A32, QS_Data!$A$1:$B$100, 2, FALSE), 101)</f>
        <v>17</v>
      </c>
      <c r="D32" s="12">
        <f>IFERROR(VLOOKUP(A32, ARWU_Data!$A$1:$B$30, 2, FALSE), 101)</f>
        <v>101</v>
      </c>
      <c r="E32" s="12">
        <f>IFERROR(VLOOKUP(A32, CWUR_Data!$A$1:$B$10, 2, FALSE), 101)</f>
        <v>101</v>
      </c>
      <c r="F32" s="12">
        <f>IF(C32&lt;=100, 101-C32, 0) + IF(D32&lt;=30, 101-D32, 0) + IF(E32&lt;=10, 101-E32, 0)</f>
        <v>84</v>
      </c>
      <c r="G32" s="16">
        <f>_xlfn.RANK.EQ(F32, $F$2:$F$176, 0)</f>
        <v>31</v>
      </c>
    </row>
    <row r="33" spans="1:7" x14ac:dyDescent="0.4">
      <c r="A33" s="11" t="s">
        <v>225</v>
      </c>
      <c r="B33" s="11" t="str">
        <f>IFERROR(VLOOKUP(A33, Locations!$A:$B, 2, FALSE), "Check Site")</f>
        <v>Check Site</v>
      </c>
      <c r="C33" s="13">
        <f>IFERROR(VLOOKUP(A33, QS_Data!$A$1:$B$100, 2, FALSE), 101)</f>
        <v>18</v>
      </c>
      <c r="D33" s="12">
        <f>IFERROR(VLOOKUP(A33, ARWU_Data!$A$1:$B$30, 2, FALSE), 101)</f>
        <v>101</v>
      </c>
      <c r="E33" s="12">
        <f>IFERROR(VLOOKUP(A33, CWUR_Data!$A$1:$B$10, 2, FALSE), 101)</f>
        <v>101</v>
      </c>
      <c r="F33" s="12">
        <f>IF(C33&lt;=100, 101-C33, 0) + IF(D33&lt;=30, 101-D33, 0) + IF(E33&lt;=10, 101-E33, 0)</f>
        <v>83</v>
      </c>
      <c r="G33" s="16">
        <f>_xlfn.RANK.EQ(F33, $F$2:$F$176, 0)</f>
        <v>32</v>
      </c>
    </row>
    <row r="34" spans="1:7" x14ac:dyDescent="0.4">
      <c r="A34" s="20" t="s">
        <v>400</v>
      </c>
      <c r="B34" s="11" t="str">
        <f>IFERROR(VLOOKUP(A34, Locations!$A:$B, 2, FALSE), "Check Site")</f>
        <v>United States of America</v>
      </c>
      <c r="C34" s="13">
        <f>IFERROR(VLOOKUP(A34, QS_Data!$A$1:$B$100, 2, FALSE), 101)</f>
        <v>101</v>
      </c>
      <c r="D34" s="12">
        <f>IFERROR(VLOOKUP(A34, ARWU_Data!$A$1:$B$30, 2, FALSE), 101)</f>
        <v>22</v>
      </c>
      <c r="E34" s="12">
        <f>IFERROR(VLOOKUP(A34, CWUR_Data!$A$1:$B$10, 2, FALSE), 101)</f>
        <v>101</v>
      </c>
      <c r="F34" s="12">
        <f>IF(C34&lt;=100, 101-C34, 0) + IF(D34&lt;=30, 101-D34, 0) + IF(E34&lt;=10, 101-E34, 0)</f>
        <v>79</v>
      </c>
      <c r="G34" s="16">
        <f>_xlfn.RANK.EQ(F34, $F$2:$F$176, 0)</f>
        <v>33</v>
      </c>
    </row>
    <row r="35" spans="1:7" x14ac:dyDescent="0.4">
      <c r="A35" s="11" t="s">
        <v>355</v>
      </c>
      <c r="B35" s="11" t="str">
        <f>IFERROR(VLOOKUP(A35, Locations!$A:$B, 2, FALSE), "Check Site")</f>
        <v>Check Site</v>
      </c>
      <c r="C35" s="13">
        <f>IFERROR(VLOOKUP(A35, QS_Data!$A$1:$B$100, 2, FALSE), 101)</f>
        <v>23</v>
      </c>
      <c r="D35" s="12">
        <f>IFERROR(VLOOKUP(A35, ARWU_Data!$A$1:$B$30, 2, FALSE), 101)</f>
        <v>101</v>
      </c>
      <c r="E35" s="12">
        <f>IFERROR(VLOOKUP(A35, CWUR_Data!$A$1:$B$10, 2, FALSE), 101)</f>
        <v>101</v>
      </c>
      <c r="F35" s="12">
        <f>IF(C35&lt;=100, 101-C35, 0) + IF(D35&lt;=30, 101-D35, 0) + IF(E35&lt;=10, 101-E35, 0)</f>
        <v>78</v>
      </c>
      <c r="G35" s="16">
        <f>_xlfn.RANK.EQ(F35, $F$2:$F$176, 0)</f>
        <v>34</v>
      </c>
    </row>
    <row r="36" spans="1:7" x14ac:dyDescent="0.4">
      <c r="A36" s="11" t="s">
        <v>253</v>
      </c>
      <c r="B36" s="11" t="str">
        <f>IFERROR(VLOOKUP(A36, Locations!$A:$B, 2, FALSE), "Check Site")</f>
        <v>Singapore</v>
      </c>
      <c r="C36" s="13">
        <f>IFERROR(VLOOKUP(A36, QS_Data!$A$1:$B$100, 2, FALSE), 101)</f>
        <v>24</v>
      </c>
      <c r="D36" s="12">
        <f>IFERROR(VLOOKUP(A36, ARWU_Data!$A$1:$B$30, 2, FALSE), 101)</f>
        <v>101</v>
      </c>
      <c r="E36" s="12">
        <f>IFERROR(VLOOKUP(A36, CWUR_Data!$A$1:$B$10, 2, FALSE), 101)</f>
        <v>101</v>
      </c>
      <c r="F36" s="12">
        <f>IF(C36&lt;=100, 101-C36, 0) + IF(D36&lt;=30, 101-D36, 0) + IF(E36&lt;=10, 101-E36, 0)</f>
        <v>77</v>
      </c>
      <c r="G36" s="16">
        <f>_xlfn.RANK.EQ(F36, $F$2:$F$176, 0)</f>
        <v>35</v>
      </c>
    </row>
    <row r="37" spans="1:7" x14ac:dyDescent="0.4">
      <c r="A37" s="20" t="s">
        <v>247</v>
      </c>
      <c r="B37" s="11" t="str">
        <f>IFERROR(VLOOKUP(A37, Locations!$A:$B, 2, FALSE), "Check Site")</f>
        <v>Check Site</v>
      </c>
      <c r="C37" s="13">
        <f>IFERROR(VLOOKUP(A37, QS_Data!$A$1:$B$100, 2, FALSE), 101)</f>
        <v>25</v>
      </c>
      <c r="D37" s="12">
        <f>IFERROR(VLOOKUP(A37, ARWU_Data!$A$1:$B$30, 2, FALSE), 101)</f>
        <v>101</v>
      </c>
      <c r="E37" s="12">
        <f>IFERROR(VLOOKUP(A37, CWUR_Data!$A$1:$B$10, 2, FALSE), 101)</f>
        <v>101</v>
      </c>
      <c r="F37" s="12">
        <f>IF(C37&lt;=100, 101-C37, 0) + IF(D37&lt;=30, 101-D37, 0) + IF(E37&lt;=10, 101-E37, 0)</f>
        <v>76</v>
      </c>
      <c r="G37" s="16">
        <f>_xlfn.RANK.EQ(F37, $F$2:$F$176, 0)</f>
        <v>36</v>
      </c>
    </row>
    <row r="38" spans="1:7" x14ac:dyDescent="0.4">
      <c r="A38" s="11" t="s">
        <v>224</v>
      </c>
      <c r="B38" s="11" t="str">
        <f>IFERROR(VLOOKUP(A38, Locations!$A:$B, 2, FALSE), "Check Site")</f>
        <v>Check Site</v>
      </c>
      <c r="C38" s="13">
        <f>IFERROR(VLOOKUP(A38, QS_Data!$A$1:$B$100, 2, FALSE), 101)</f>
        <v>27</v>
      </c>
      <c r="D38" s="12">
        <f>IFERROR(VLOOKUP(A38, ARWU_Data!$A$1:$B$30, 2, FALSE), 101)</f>
        <v>101</v>
      </c>
      <c r="E38" s="12">
        <f>IFERROR(VLOOKUP(A38, CWUR_Data!$A$1:$B$10, 2, FALSE), 101)</f>
        <v>101</v>
      </c>
      <c r="F38" s="12">
        <f>IF(C38&lt;=100, 101-C38, 0) + IF(D38&lt;=30, 101-D38, 0) + IF(E38&lt;=10, 101-E38, 0)</f>
        <v>74</v>
      </c>
      <c r="G38" s="16">
        <f>_xlfn.RANK.EQ(F38, $F$2:$F$176, 0)</f>
        <v>37</v>
      </c>
    </row>
    <row r="39" spans="1:7" x14ac:dyDescent="0.4">
      <c r="A39" s="11" t="s">
        <v>326</v>
      </c>
      <c r="B39" s="11" t="str">
        <f>IFERROR(VLOOKUP(A39, Locations!$A:$B, 2, FALSE), "Check Site")</f>
        <v>United States of America</v>
      </c>
      <c r="C39" s="13">
        <f>IFERROR(VLOOKUP(A39, QS_Data!$A$1:$B$100, 2, FALSE), 101)</f>
        <v>29</v>
      </c>
      <c r="D39" s="12">
        <f>IFERROR(VLOOKUP(A39, ARWU_Data!$A$1:$B$30, 2, FALSE), 101)</f>
        <v>101</v>
      </c>
      <c r="E39" s="12">
        <f>IFERROR(VLOOKUP(A39, CWUR_Data!$A$1:$B$10, 2, FALSE), 101)</f>
        <v>101</v>
      </c>
      <c r="F39" s="12">
        <f>IF(C39&lt;=100, 101-C39, 0) + IF(D39&lt;=30, 101-D39, 0) + IF(E39&lt;=10, 101-E39, 0)</f>
        <v>72</v>
      </c>
      <c r="G39" s="16">
        <f>_xlfn.RANK.EQ(F39, $F$2:$F$176, 0)</f>
        <v>38</v>
      </c>
    </row>
    <row r="40" spans="1:7" x14ac:dyDescent="0.4">
      <c r="A40" s="11" t="s">
        <v>237</v>
      </c>
      <c r="B40" s="11" t="str">
        <f>IFERROR(VLOOKUP(A40, Locations!$A:$B, 2, FALSE), "Check Site")</f>
        <v>Canada</v>
      </c>
      <c r="C40" s="13">
        <f>IFERROR(VLOOKUP(A40, QS_Data!$A$1:$B$100, 2, FALSE), 101)</f>
        <v>33</v>
      </c>
      <c r="D40" s="12">
        <f>IFERROR(VLOOKUP(A40, ARWU_Data!$A$1:$B$30, 2, FALSE), 101)</f>
        <v>101</v>
      </c>
      <c r="E40" s="12">
        <f>IFERROR(VLOOKUP(A40, CWUR_Data!$A$1:$B$10, 2, FALSE), 101)</f>
        <v>101</v>
      </c>
      <c r="F40" s="12">
        <f>IF(C40&lt;=100, 101-C40, 0) + IF(D40&lt;=30, 101-D40, 0) + IF(E40&lt;=10, 101-E40, 0)</f>
        <v>68</v>
      </c>
      <c r="G40" s="16">
        <f>_xlfn.RANK.EQ(F40, $F$2:$F$176, 0)</f>
        <v>39</v>
      </c>
    </row>
    <row r="41" spans="1:7" x14ac:dyDescent="0.4">
      <c r="A41" s="20" t="s">
        <v>256</v>
      </c>
      <c r="B41" s="11" t="str">
        <f>IFERROR(VLOOKUP(A41, Locations!$A:$B, 2, FALSE), "Check Site")</f>
        <v>Check Site</v>
      </c>
      <c r="C41" s="13">
        <f>IFERROR(VLOOKUP(A41, QS_Data!$A$1:$B$100, 2, FALSE), 101)</f>
        <v>34</v>
      </c>
      <c r="D41" s="12">
        <f>IFERROR(VLOOKUP(A41, ARWU_Data!$A$1:$B$30, 2, FALSE), 101)</f>
        <v>101</v>
      </c>
      <c r="E41" s="12">
        <f>IFERROR(VLOOKUP(A41, CWUR_Data!$A$1:$B$10, 2, FALSE), 101)</f>
        <v>101</v>
      </c>
      <c r="F41" s="12">
        <f>IF(C41&lt;=100, 101-C41, 0) + IF(D41&lt;=30, 101-D41, 0) + IF(E41&lt;=10, 101-E41, 0)</f>
        <v>67</v>
      </c>
      <c r="G41" s="16">
        <f>_xlfn.RANK.EQ(F41, $F$2:$F$176, 0)</f>
        <v>40</v>
      </c>
    </row>
    <row r="42" spans="1:7" x14ac:dyDescent="0.4">
      <c r="A42" s="11" t="s">
        <v>250</v>
      </c>
      <c r="B42" s="11" t="str">
        <f>IFERROR(VLOOKUP(A42, Locations!$A:$B, 2, FALSE), "Check Site")</f>
        <v>Canada</v>
      </c>
      <c r="C42" s="13">
        <f>IFERROR(VLOOKUP(A42, QS_Data!$A$1:$B$100, 2, FALSE), 101)</f>
        <v>35</v>
      </c>
      <c r="D42" s="12">
        <f>IFERROR(VLOOKUP(A42, ARWU_Data!$A$1:$B$30, 2, FALSE), 101)</f>
        <v>101</v>
      </c>
      <c r="E42" s="12">
        <f>IFERROR(VLOOKUP(A42, CWUR_Data!$A$1:$B$10, 2, FALSE), 101)</f>
        <v>101</v>
      </c>
      <c r="F42" s="12">
        <f>IF(C42&lt;=100, 101-C42, 0) + IF(D42&lt;=30, 101-D42, 0) + IF(E42&lt;=10, 101-E42, 0)</f>
        <v>66</v>
      </c>
      <c r="G42" s="16">
        <f>_xlfn.RANK.EQ(F42, $F$2:$F$176, 0)</f>
        <v>41</v>
      </c>
    </row>
    <row r="43" spans="1:7" x14ac:dyDescent="0.4">
      <c r="A43" s="11" t="s">
        <v>241</v>
      </c>
      <c r="B43" s="11" t="str">
        <f>IFERROR(VLOOKUP(A43, Locations!$A:$B, 2, FALSE), "Check Site")</f>
        <v>China (Mainland)</v>
      </c>
      <c r="C43" s="13">
        <f>IFERROR(VLOOKUP(A43, QS_Data!$A$1:$B$100, 2, FALSE), 101)</f>
        <v>36</v>
      </c>
      <c r="D43" s="12">
        <f>IFERROR(VLOOKUP(A43, ARWU_Data!$A$1:$B$30, 2, FALSE), 101)</f>
        <v>101</v>
      </c>
      <c r="E43" s="12">
        <f>IFERROR(VLOOKUP(A43, CWUR_Data!$A$1:$B$10, 2, FALSE), 101)</f>
        <v>101</v>
      </c>
      <c r="F43" s="12">
        <f>IF(C43&lt;=100, 101-C43, 0) + IF(D43&lt;=30, 101-D43, 0) + IF(E43&lt;=10, 101-E43, 0)</f>
        <v>65</v>
      </c>
      <c r="G43" s="16">
        <f>_xlfn.RANK.EQ(F43, $F$2:$F$176, 0)</f>
        <v>42</v>
      </c>
    </row>
    <row r="44" spans="1:7" x14ac:dyDescent="0.4">
      <c r="A44" s="11" t="s">
        <v>242</v>
      </c>
      <c r="B44" s="11" t="str">
        <f>IFERROR(VLOOKUP(A44, Locations!$A:$B, 2, FALSE), "Check Site")</f>
        <v>Japan</v>
      </c>
      <c r="C44" s="13">
        <f>IFERROR(VLOOKUP(A44, QS_Data!$A$1:$B$100, 2, FALSE), 101)</f>
        <v>37</v>
      </c>
      <c r="D44" s="12">
        <f>IFERROR(VLOOKUP(A44, ARWU_Data!$A$1:$B$30, 2, FALSE), 101)</f>
        <v>101</v>
      </c>
      <c r="E44" s="12">
        <f>IFERROR(VLOOKUP(A44, CWUR_Data!$A$1:$B$10, 2, FALSE), 101)</f>
        <v>101</v>
      </c>
      <c r="F44" s="12">
        <f>IF(C44&lt;=100, 101-C44, 0) + IF(D44&lt;=30, 101-D44, 0) + IF(E44&lt;=10, 101-E44, 0)</f>
        <v>64</v>
      </c>
      <c r="G44" s="16">
        <f>_xlfn.RANK.EQ(F44, $F$2:$F$176, 0)</f>
        <v>43</v>
      </c>
    </row>
    <row r="45" spans="1:7" x14ac:dyDescent="0.4">
      <c r="A45" s="11" t="s">
        <v>244</v>
      </c>
      <c r="B45" s="11" t="str">
        <f>IFERROR(VLOOKUP(A45, Locations!$A:$B, 2, FALSE), "Check Site")</f>
        <v>Check Site</v>
      </c>
      <c r="C45" s="13">
        <f>IFERROR(VLOOKUP(A45, QS_Data!$A$1:$B$100, 2, FALSE), 101)</f>
        <v>37</v>
      </c>
      <c r="D45" s="12">
        <f>IFERROR(VLOOKUP(A45, ARWU_Data!$A$1:$B$30, 2, FALSE), 101)</f>
        <v>101</v>
      </c>
      <c r="E45" s="12">
        <f>IFERROR(VLOOKUP(A45, CWUR_Data!$A$1:$B$10, 2, FALSE), 101)</f>
        <v>101</v>
      </c>
      <c r="F45" s="12">
        <f>IF(C45&lt;=100, 101-C45, 0) + IF(D45&lt;=30, 101-D45, 0) + IF(E45&lt;=10, 101-E45, 0)</f>
        <v>64</v>
      </c>
      <c r="G45" s="16">
        <f>_xlfn.RANK.EQ(F45, $F$2:$F$176, 0)</f>
        <v>43</v>
      </c>
    </row>
    <row r="46" spans="1:7" x14ac:dyDescent="0.4">
      <c r="A46" s="11" t="s">
        <v>271</v>
      </c>
      <c r="B46" s="11" t="str">
        <f>IFERROR(VLOOKUP(A46, Locations!$A:$B, 2, FALSE), "Check Site")</f>
        <v>Republic of Korea</v>
      </c>
      <c r="C46" s="13">
        <f>IFERROR(VLOOKUP(A46, QS_Data!$A$1:$B$100, 2, FALSE), 101)</f>
        <v>39</v>
      </c>
      <c r="D46" s="12">
        <f>IFERROR(VLOOKUP(A46, ARWU_Data!$A$1:$B$30, 2, FALSE), 101)</f>
        <v>101</v>
      </c>
      <c r="E46" s="12">
        <f>IFERROR(VLOOKUP(A46, CWUR_Data!$A$1:$B$10, 2, FALSE), 101)</f>
        <v>101</v>
      </c>
      <c r="F46" s="12">
        <f>IF(C46&lt;=100, 101-C46, 0) + IF(D46&lt;=30, 101-D46, 0) + IF(E46&lt;=10, 101-E46, 0)</f>
        <v>62</v>
      </c>
      <c r="G46" s="16">
        <f>_xlfn.RANK.EQ(F46, $F$2:$F$176, 0)</f>
        <v>45</v>
      </c>
    </row>
    <row r="47" spans="1:7" x14ac:dyDescent="0.4">
      <c r="A47" s="11" t="s">
        <v>357</v>
      </c>
      <c r="B47" s="11" t="str">
        <f>IFERROR(VLOOKUP(A47, Locations!$A:$B, 2, FALSE), "Check Site")</f>
        <v>United States of America</v>
      </c>
      <c r="C47" s="13">
        <f>IFERROR(VLOOKUP(A47, QS_Data!$A$1:$B$100, 2, FALSE), 101)</f>
        <v>41</v>
      </c>
      <c r="D47" s="12">
        <f>IFERROR(VLOOKUP(A47, ARWU_Data!$A$1:$B$30, 2, FALSE), 101)</f>
        <v>101</v>
      </c>
      <c r="E47" s="12">
        <f>IFERROR(VLOOKUP(A47, CWUR_Data!$A$1:$B$10, 2, FALSE), 101)</f>
        <v>101</v>
      </c>
      <c r="F47" s="12">
        <f>IF(C47&lt;=100, 101-C47, 0) + IF(D47&lt;=30, 101-D47, 0) + IF(E47&lt;=10, 101-E47, 0)</f>
        <v>60</v>
      </c>
      <c r="G47" s="16">
        <f>_xlfn.RANK.EQ(F47, $F$2:$F$176, 0)</f>
        <v>46</v>
      </c>
    </row>
    <row r="48" spans="1:7" x14ac:dyDescent="0.4">
      <c r="A48" s="11" t="s">
        <v>284</v>
      </c>
      <c r="B48" s="11" t="str">
        <f>IFERROR(VLOOKUP(A48, Locations!$A:$B, 2, FALSE), "Check Site")</f>
        <v>Republic of Korea</v>
      </c>
      <c r="C48" s="13">
        <f>IFERROR(VLOOKUP(A48, QS_Data!$A$1:$B$100, 2, FALSE), 101)</f>
        <v>42</v>
      </c>
      <c r="D48" s="12">
        <f>IFERROR(VLOOKUP(A48, ARWU_Data!$A$1:$B$30, 2, FALSE), 101)</f>
        <v>101</v>
      </c>
      <c r="E48" s="12">
        <f>IFERROR(VLOOKUP(A48, CWUR_Data!$A$1:$B$10, 2, FALSE), 101)</f>
        <v>101</v>
      </c>
      <c r="F48" s="12">
        <f>IF(C48&lt;=100, 101-C48, 0) + IF(D48&lt;=30, 101-D48, 0) + IF(E48&lt;=10, 101-E48, 0)</f>
        <v>59</v>
      </c>
      <c r="G48" s="16">
        <f>_xlfn.RANK.EQ(F48, $F$2:$F$176, 0)</f>
        <v>47</v>
      </c>
    </row>
    <row r="49" spans="1:7" x14ac:dyDescent="0.4">
      <c r="A49" s="20" t="s">
        <v>235</v>
      </c>
      <c r="B49" s="11" t="str">
        <f>IFERROR(VLOOKUP(A49, Locations!$A:$B, 2, FALSE), "Check Site")</f>
        <v>China (Mainland)</v>
      </c>
      <c r="C49" s="13">
        <f>IFERROR(VLOOKUP(A49, QS_Data!$A$1:$B$100, 2, FALSE), 101)</f>
        <v>42</v>
      </c>
      <c r="D49" s="12">
        <f>IFERROR(VLOOKUP(A49, ARWU_Data!$A$1:$B$30, 2, FALSE), 101)</f>
        <v>101</v>
      </c>
      <c r="E49" s="12">
        <f>IFERROR(VLOOKUP(A49, CWUR_Data!$A$1:$B$10, 2, FALSE), 101)</f>
        <v>101</v>
      </c>
      <c r="F49" s="12">
        <f>IF(C49&lt;=100, 101-C49, 0) + IF(D49&lt;=30, 101-D49, 0) + IF(E49&lt;=10, 101-E49, 0)</f>
        <v>59</v>
      </c>
      <c r="G49" s="16">
        <f>_xlfn.RANK.EQ(F49, $F$2:$F$176, 0)</f>
        <v>47</v>
      </c>
    </row>
    <row r="50" spans="1:7" x14ac:dyDescent="0.4">
      <c r="A50" s="11" t="s">
        <v>358</v>
      </c>
      <c r="B50" s="11" t="str">
        <f>IFERROR(VLOOKUP(A50, Locations!$A:$B, 2, FALSE), "Check Site")</f>
        <v>Check Site</v>
      </c>
      <c r="C50" s="13">
        <f>IFERROR(VLOOKUP(A50, QS_Data!$A$1:$B$100, 2, FALSE), 101)</f>
        <v>45</v>
      </c>
      <c r="D50" s="12">
        <f>IFERROR(VLOOKUP(A50, ARWU_Data!$A$1:$B$30, 2, FALSE), 101)</f>
        <v>101</v>
      </c>
      <c r="E50" s="12">
        <f>IFERROR(VLOOKUP(A50, CWUR_Data!$A$1:$B$10, 2, FALSE), 101)</f>
        <v>101</v>
      </c>
      <c r="F50" s="12">
        <f>IF(C50&lt;=100, 101-C50, 0) + IF(D50&lt;=30, 101-D50, 0) + IF(E50&lt;=10, 101-E50, 0)</f>
        <v>56</v>
      </c>
      <c r="G50" s="16">
        <f>_xlfn.RANK.EQ(F50, $F$2:$F$176, 0)</f>
        <v>49</v>
      </c>
    </row>
    <row r="51" spans="1:7" x14ac:dyDescent="0.4">
      <c r="A51" s="11" t="s">
        <v>268</v>
      </c>
      <c r="B51" s="11" t="str">
        <f>IFERROR(VLOOKUP(A51, Locations!$A:$B, 2, FALSE), "Check Site")</f>
        <v>United States of America</v>
      </c>
      <c r="C51" s="13">
        <f>IFERROR(VLOOKUP(A51, QS_Data!$A$1:$B$100, 2, FALSE), 101)</f>
        <v>46</v>
      </c>
      <c r="D51" s="12">
        <f>IFERROR(VLOOKUP(A51, ARWU_Data!$A$1:$B$30, 2, FALSE), 101)</f>
        <v>101</v>
      </c>
      <c r="E51" s="12">
        <f>IFERROR(VLOOKUP(A51, CWUR_Data!$A$1:$B$10, 2, FALSE), 101)</f>
        <v>101</v>
      </c>
      <c r="F51" s="12">
        <f>IF(C51&lt;=100, 101-C51, 0) + IF(D51&lt;=30, 101-D51, 0) + IF(E51&lt;=10, 101-E51, 0)</f>
        <v>55</v>
      </c>
      <c r="G51" s="16">
        <f>_xlfn.RANK.EQ(F51, $F$2:$F$176, 0)</f>
        <v>50</v>
      </c>
    </row>
    <row r="52" spans="1:7" x14ac:dyDescent="0.4">
      <c r="A52" s="11" t="s">
        <v>292</v>
      </c>
      <c r="B52" s="11" t="str">
        <f>IFERROR(VLOOKUP(A52, Locations!$A:$B, 2, FALSE), "Check Site")</f>
        <v>Denmark</v>
      </c>
      <c r="C52" s="13">
        <f>IFERROR(VLOOKUP(A52, QS_Data!$A$1:$B$100, 2, FALSE), 101)</f>
        <v>48</v>
      </c>
      <c r="D52" s="12">
        <f>IFERROR(VLOOKUP(A52, ARWU_Data!$A$1:$B$30, 2, FALSE), 101)</f>
        <v>101</v>
      </c>
      <c r="E52" s="12">
        <f>IFERROR(VLOOKUP(A52, CWUR_Data!$A$1:$B$10, 2, FALSE), 101)</f>
        <v>101</v>
      </c>
      <c r="F52" s="12">
        <f>IF(C52&lt;=100, 101-C52, 0) + IF(D52&lt;=30, 101-D52, 0) + IF(E52&lt;=10, 101-E52, 0)</f>
        <v>53</v>
      </c>
      <c r="G52" s="16">
        <f>_xlfn.RANK.EQ(F52, $F$2:$F$176, 0)</f>
        <v>51</v>
      </c>
    </row>
    <row r="53" spans="1:7" x14ac:dyDescent="0.4">
      <c r="A53" s="11" t="s">
        <v>272</v>
      </c>
      <c r="B53" s="11" t="str">
        <f>IFERROR(VLOOKUP(A53, Locations!$A:$B, 2, FALSE), "Check Site")</f>
        <v>United Kingdom</v>
      </c>
      <c r="C53" s="13">
        <f>IFERROR(VLOOKUP(A53, QS_Data!$A$1:$B$100, 2, FALSE), 101)</f>
        <v>49</v>
      </c>
      <c r="D53" s="12">
        <f>IFERROR(VLOOKUP(A53, ARWU_Data!$A$1:$B$30, 2, FALSE), 101)</f>
        <v>101</v>
      </c>
      <c r="E53" s="12">
        <f>IFERROR(VLOOKUP(A53, CWUR_Data!$A$1:$B$10, 2, FALSE), 101)</f>
        <v>101</v>
      </c>
      <c r="F53" s="12">
        <f>IF(C53&lt;=100, 101-C53, 0) + IF(D53&lt;=30, 101-D53, 0) + IF(E53&lt;=10, 101-E53, 0)</f>
        <v>52</v>
      </c>
      <c r="G53" s="16">
        <f>_xlfn.RANK.EQ(F53, $F$2:$F$176, 0)</f>
        <v>52</v>
      </c>
    </row>
    <row r="54" spans="1:7" x14ac:dyDescent="0.4">
      <c r="A54" s="11" t="s">
        <v>258</v>
      </c>
      <c r="B54" s="11" t="str">
        <f>IFERROR(VLOOKUP(A54, Locations!$A:$B, 2, FALSE), "Check Site")</f>
        <v>United Kingdom</v>
      </c>
      <c r="C54" s="13">
        <f>IFERROR(VLOOKUP(A54, QS_Data!$A$1:$B$100, 2, FALSE), 101)</f>
        <v>50</v>
      </c>
      <c r="D54" s="12">
        <f>IFERROR(VLOOKUP(A54, ARWU_Data!$A$1:$B$30, 2, FALSE), 101)</f>
        <v>101</v>
      </c>
      <c r="E54" s="12">
        <f>IFERROR(VLOOKUP(A54, CWUR_Data!$A$1:$B$10, 2, FALSE), 101)</f>
        <v>101</v>
      </c>
      <c r="F54" s="12">
        <f>IF(C54&lt;=100, 101-C54, 0) + IF(D54&lt;=30, 101-D54, 0) + IF(E54&lt;=10, 101-E54, 0)</f>
        <v>51</v>
      </c>
      <c r="G54" s="16">
        <f>_xlfn.RANK.EQ(F54, $F$2:$F$176, 0)</f>
        <v>53</v>
      </c>
    </row>
    <row r="55" spans="1:7" x14ac:dyDescent="0.4">
      <c r="A55" s="11" t="s">
        <v>270</v>
      </c>
      <c r="B55" s="11" t="str">
        <f>IFERROR(VLOOKUP(A55, Locations!$A:$B, 2, FALSE), "Check Site")</f>
        <v>United States of America</v>
      </c>
      <c r="C55" s="13">
        <f>IFERROR(VLOOKUP(A55, QS_Data!$A$1:$B$100, 2, FALSE), 101)</f>
        <v>51</v>
      </c>
      <c r="D55" s="12">
        <f>IFERROR(VLOOKUP(A55, ARWU_Data!$A$1:$B$30, 2, FALSE), 101)</f>
        <v>101</v>
      </c>
      <c r="E55" s="12">
        <f>IFERROR(VLOOKUP(A55, CWUR_Data!$A$1:$B$10, 2, FALSE), 101)</f>
        <v>101</v>
      </c>
      <c r="F55" s="12">
        <f>IF(C55&lt;=100, 101-C55, 0) + IF(D55&lt;=30, 101-D55, 0) + IF(E55&lt;=10, 101-E55, 0)</f>
        <v>50</v>
      </c>
      <c r="G55" s="16">
        <f>_xlfn.RANK.EQ(F55, $F$2:$F$176, 0)</f>
        <v>54</v>
      </c>
    </row>
    <row r="56" spans="1:7" x14ac:dyDescent="0.4">
      <c r="A56" s="11" t="s">
        <v>360</v>
      </c>
      <c r="B56" s="11" t="str">
        <f>IFERROR(VLOOKUP(A56, Locations!$A:$B, 2, FALSE), "Check Site")</f>
        <v>Check Site</v>
      </c>
      <c r="C56" s="13">
        <f>IFERROR(VLOOKUP(A56, QS_Data!$A$1:$B$100, 2, FALSE), 101)</f>
        <v>51</v>
      </c>
      <c r="D56" s="12">
        <f>IFERROR(VLOOKUP(A56, ARWU_Data!$A$1:$B$30, 2, FALSE), 101)</f>
        <v>101</v>
      </c>
      <c r="E56" s="12">
        <f>IFERROR(VLOOKUP(A56, CWUR_Data!$A$1:$B$10, 2, FALSE), 101)</f>
        <v>101</v>
      </c>
      <c r="F56" s="12">
        <f>IF(C56&lt;=100, 101-C56, 0) + IF(D56&lt;=30, 101-D56, 0) + IF(E56&lt;=10, 101-E56, 0)</f>
        <v>50</v>
      </c>
      <c r="G56" s="16">
        <f>_xlfn.RANK.EQ(F56, $F$2:$F$176, 0)</f>
        <v>54</v>
      </c>
    </row>
    <row r="57" spans="1:7" x14ac:dyDescent="0.4">
      <c r="A57" s="11" t="s">
        <v>234</v>
      </c>
      <c r="B57" s="11" t="str">
        <f>IFERROR(VLOOKUP(A57, Locations!$A:$B, 2, FALSE), "Check Site")</f>
        <v>Hong Kong SAR, China</v>
      </c>
      <c r="C57" s="13">
        <f>IFERROR(VLOOKUP(A57, QS_Data!$A$1:$B$100, 2, FALSE), 101)</f>
        <v>53</v>
      </c>
      <c r="D57" s="12">
        <f>IFERROR(VLOOKUP(A57, ARWU_Data!$A$1:$B$30, 2, FALSE), 101)</f>
        <v>101</v>
      </c>
      <c r="E57" s="12">
        <f>IFERROR(VLOOKUP(A57, CWUR_Data!$A$1:$B$10, 2, FALSE), 101)</f>
        <v>101</v>
      </c>
      <c r="F57" s="12">
        <f>IF(C57&lt;=100, 101-C57, 0) + IF(D57&lt;=30, 101-D57, 0) + IF(E57&lt;=10, 101-E57, 0)</f>
        <v>48</v>
      </c>
      <c r="G57" s="16">
        <f>_xlfn.RANK.EQ(F57, $F$2:$F$176, 0)</f>
        <v>56</v>
      </c>
    </row>
    <row r="58" spans="1:7" x14ac:dyDescent="0.4">
      <c r="A58" s="11" t="s">
        <v>252</v>
      </c>
      <c r="B58" s="11" t="str">
        <f>IFERROR(VLOOKUP(A58, Locations!$A:$B, 2, FALSE), "Check Site")</f>
        <v>United Kingdom</v>
      </c>
      <c r="C58" s="13">
        <f>IFERROR(VLOOKUP(A58, QS_Data!$A$1:$B$100, 2, FALSE), 101)</f>
        <v>53</v>
      </c>
      <c r="D58" s="12">
        <f>IFERROR(VLOOKUP(A58, ARWU_Data!$A$1:$B$30, 2, FALSE), 101)</f>
        <v>101</v>
      </c>
      <c r="E58" s="12">
        <f>IFERROR(VLOOKUP(A58, CWUR_Data!$A$1:$B$10, 2, FALSE), 101)</f>
        <v>101</v>
      </c>
      <c r="F58" s="12">
        <f>IF(C58&lt;=100, 101-C58, 0) + IF(D58&lt;=30, 101-D58, 0) + IF(E58&lt;=10, 101-E58, 0)</f>
        <v>48</v>
      </c>
      <c r="G58" s="16">
        <f>_xlfn.RANK.EQ(F58, $F$2:$F$176, 0)</f>
        <v>56</v>
      </c>
    </row>
    <row r="59" spans="1:7" x14ac:dyDescent="0.4">
      <c r="A59" s="11" t="s">
        <v>243</v>
      </c>
      <c r="B59" s="11" t="str">
        <f>IFERROR(VLOOKUP(A59, Locations!$A:$B, 2, FALSE), "Check Site")</f>
        <v>Australia</v>
      </c>
      <c r="C59" s="13">
        <f>IFERROR(VLOOKUP(A59, QS_Data!$A$1:$B$100, 2, FALSE), 101)</f>
        <v>55</v>
      </c>
      <c r="D59" s="12">
        <f>IFERROR(VLOOKUP(A59, ARWU_Data!$A$1:$B$30, 2, FALSE), 101)</f>
        <v>101</v>
      </c>
      <c r="E59" s="12">
        <f>IFERROR(VLOOKUP(A59, CWUR_Data!$A$1:$B$10, 2, FALSE), 101)</f>
        <v>101</v>
      </c>
      <c r="F59" s="12">
        <f>IF(C59&lt;=100, 101-C59, 0) + IF(D59&lt;=30, 101-D59, 0) + IF(E59&lt;=10, 101-E59, 0)</f>
        <v>46</v>
      </c>
      <c r="G59" s="16">
        <f>_xlfn.RANK.EQ(F59, $F$2:$F$176, 0)</f>
        <v>58</v>
      </c>
    </row>
    <row r="60" spans="1:7" x14ac:dyDescent="0.4">
      <c r="A60" s="11" t="s">
        <v>273</v>
      </c>
      <c r="B60" s="11" t="str">
        <f>IFERROR(VLOOKUP(A60, Locations!$A:$B, 2, FALSE), "Check Site")</f>
        <v>Japan</v>
      </c>
      <c r="C60" s="13">
        <f>IFERROR(VLOOKUP(A60, QS_Data!$A$1:$B$100, 2, FALSE), 101)</f>
        <v>57</v>
      </c>
      <c r="D60" s="12">
        <f>IFERROR(VLOOKUP(A60, ARWU_Data!$A$1:$B$30, 2, FALSE), 101)</f>
        <v>101</v>
      </c>
      <c r="E60" s="12">
        <f>IFERROR(VLOOKUP(A60, CWUR_Data!$A$1:$B$10, 2, FALSE), 101)</f>
        <v>101</v>
      </c>
      <c r="F60" s="12">
        <f>IF(C60&lt;=100, 101-C60, 0) + IF(D60&lt;=30, 101-D60, 0) + IF(E60&lt;=10, 101-E60, 0)</f>
        <v>44</v>
      </c>
      <c r="G60" s="16">
        <f>_xlfn.RANK.EQ(F60, $F$2:$F$176, 0)</f>
        <v>59</v>
      </c>
    </row>
    <row r="61" spans="1:7" x14ac:dyDescent="0.4">
      <c r="A61" s="11" t="s">
        <v>263</v>
      </c>
      <c r="B61" s="11" t="str">
        <f>IFERROR(VLOOKUP(A61, Locations!$A:$B, 2, FALSE), "Check Site")</f>
        <v>China (Mainland)</v>
      </c>
      <c r="C61" s="13">
        <f>IFERROR(VLOOKUP(A61, QS_Data!$A$1:$B$100, 2, FALSE), 101)</f>
        <v>58</v>
      </c>
      <c r="D61" s="12">
        <f>IFERROR(VLOOKUP(A61, ARWU_Data!$A$1:$B$30, 2, FALSE), 101)</f>
        <v>101</v>
      </c>
      <c r="E61" s="12">
        <f>IFERROR(VLOOKUP(A61, CWUR_Data!$A$1:$B$10, 2, FALSE), 101)</f>
        <v>101</v>
      </c>
      <c r="F61" s="12">
        <f>IF(C61&lt;=100, 101-C61, 0) + IF(D61&lt;=30, 101-D61, 0) + IF(E61&lt;=10, 101-E61, 0)</f>
        <v>43</v>
      </c>
      <c r="G61" s="16">
        <f>_xlfn.RANK.EQ(F61, $F$2:$F$176, 0)</f>
        <v>60</v>
      </c>
    </row>
    <row r="62" spans="1:7" x14ac:dyDescent="0.4">
      <c r="A62" s="11" t="s">
        <v>361</v>
      </c>
      <c r="B62" s="11" t="str">
        <f>IFERROR(VLOOKUP(A62, Locations!$A:$B, 2, FALSE), "Check Site")</f>
        <v>Check Site</v>
      </c>
      <c r="C62" s="13">
        <f>IFERROR(VLOOKUP(A62, QS_Data!$A$1:$B$100, 2, FALSE), 101)</f>
        <v>59</v>
      </c>
      <c r="D62" s="12">
        <f>IFERROR(VLOOKUP(A62, ARWU_Data!$A$1:$B$30, 2, FALSE), 101)</f>
        <v>101</v>
      </c>
      <c r="E62" s="12">
        <f>IFERROR(VLOOKUP(A62, CWUR_Data!$A$1:$B$10, 2, FALSE), 101)</f>
        <v>101</v>
      </c>
      <c r="F62" s="12">
        <f>IF(C62&lt;=100, 101-C62, 0) + IF(D62&lt;=30, 101-D62, 0) + IF(E62&lt;=10, 101-E62, 0)</f>
        <v>42</v>
      </c>
      <c r="G62" s="16">
        <f>_xlfn.RANK.EQ(F62, $F$2:$F$176, 0)</f>
        <v>61</v>
      </c>
    </row>
    <row r="63" spans="1:7" x14ac:dyDescent="0.4">
      <c r="A63" s="11" t="s">
        <v>260</v>
      </c>
      <c r="B63" s="11" t="str">
        <f>IFERROR(VLOOKUP(A63, Locations!$A:$B, 2, FALSE), "Check Site")</f>
        <v>Belgium</v>
      </c>
      <c r="C63" s="13">
        <f>IFERROR(VLOOKUP(A63, QS_Data!$A$1:$B$100, 2, FALSE), 101)</f>
        <v>59</v>
      </c>
      <c r="D63" s="12">
        <f>IFERROR(VLOOKUP(A63, ARWU_Data!$A$1:$B$30, 2, FALSE), 101)</f>
        <v>101</v>
      </c>
      <c r="E63" s="12">
        <f>IFERROR(VLOOKUP(A63, CWUR_Data!$A$1:$B$10, 2, FALSE), 101)</f>
        <v>101</v>
      </c>
      <c r="F63" s="12">
        <f>IF(C63&lt;=100, 101-C63, 0) + IF(D63&lt;=30, 101-D63, 0) + IF(E63&lt;=10, 101-E63, 0)</f>
        <v>42</v>
      </c>
      <c r="G63" s="16">
        <f>_xlfn.RANK.EQ(F63, $F$2:$F$176, 0)</f>
        <v>61</v>
      </c>
    </row>
    <row r="64" spans="1:7" x14ac:dyDescent="0.4">
      <c r="A64" s="11" t="s">
        <v>304</v>
      </c>
      <c r="B64" s="11" t="str">
        <f>IFERROR(VLOOKUP(A64, Locations!$A:$B, 2, FALSE), "Check Site")</f>
        <v>Check Site</v>
      </c>
      <c r="C64" s="13">
        <f>IFERROR(VLOOKUP(A64, QS_Data!$A$1:$B$100, 2, FALSE), 101)</f>
        <v>61</v>
      </c>
      <c r="D64" s="12">
        <f>IFERROR(VLOOKUP(A64, ARWU_Data!$A$1:$B$30, 2, FALSE), 101)</f>
        <v>101</v>
      </c>
      <c r="E64" s="12">
        <f>IFERROR(VLOOKUP(A64, CWUR_Data!$A$1:$B$10, 2, FALSE), 101)</f>
        <v>101</v>
      </c>
      <c r="F64" s="12">
        <f>IF(C64&lt;=100, 101-C64, 0) + IF(D64&lt;=30, 101-D64, 0) + IF(E64&lt;=10, 101-E64, 0)</f>
        <v>40</v>
      </c>
      <c r="G64" s="16">
        <f>_xlfn.RANK.EQ(F64, $F$2:$F$176, 0)</f>
        <v>63</v>
      </c>
    </row>
    <row r="65" spans="1:7" x14ac:dyDescent="0.4">
      <c r="A65" s="11" t="s">
        <v>387</v>
      </c>
      <c r="B65" s="11" t="str">
        <f>IFERROR(VLOOKUP(A65, Locations!$A:$B, 2, FALSE), "Check Site")</f>
        <v>Mexico</v>
      </c>
      <c r="C65" s="13">
        <f>IFERROR(VLOOKUP(A65, QS_Data!$A$1:$B$100, 2, FALSE), 101)</f>
        <v>61</v>
      </c>
      <c r="D65" s="12">
        <f>IFERROR(VLOOKUP(A65, ARWU_Data!$A$1:$B$30, 2, FALSE), 101)</f>
        <v>101</v>
      </c>
      <c r="E65" s="12">
        <f>IFERROR(VLOOKUP(A65, CWUR_Data!$A$1:$B$10, 2, FALSE), 101)</f>
        <v>101</v>
      </c>
      <c r="F65" s="12">
        <f>IF(C65&lt;=100, 101-C65, 0) + IF(D65&lt;=30, 101-D65, 0) + IF(E65&lt;=10, 101-E65, 0)</f>
        <v>40</v>
      </c>
      <c r="G65" s="16">
        <f>_xlfn.RANK.EQ(F65, $F$2:$F$176, 0)</f>
        <v>63</v>
      </c>
    </row>
    <row r="66" spans="1:7" x14ac:dyDescent="0.4">
      <c r="A66" s="11" t="s">
        <v>289</v>
      </c>
      <c r="B66" s="11" t="str">
        <f>IFERROR(VLOOKUP(A66, Locations!$A:$B, 2, FALSE), "Check Site")</f>
        <v>Colombia</v>
      </c>
      <c r="C66" s="13">
        <f>IFERROR(VLOOKUP(A66, QS_Data!$A$1:$B$100, 2, FALSE), 101)</f>
        <v>63</v>
      </c>
      <c r="D66" s="12">
        <f>IFERROR(VLOOKUP(A66, ARWU_Data!$A$1:$B$30, 2, FALSE), 101)</f>
        <v>101</v>
      </c>
      <c r="E66" s="12">
        <f>IFERROR(VLOOKUP(A66, CWUR_Data!$A$1:$B$10, 2, FALSE), 101)</f>
        <v>101</v>
      </c>
      <c r="F66" s="12">
        <f>IF(C66&lt;=100, 101-C66, 0) + IF(D66&lt;=30, 101-D66, 0) + IF(E66&lt;=10, 101-E66, 0)</f>
        <v>38</v>
      </c>
      <c r="G66" s="16">
        <f>_xlfn.RANK.EQ(F66, $F$2:$F$176, 0)</f>
        <v>65</v>
      </c>
    </row>
    <row r="67" spans="1:7" x14ac:dyDescent="0.4">
      <c r="A67" s="11" t="s">
        <v>302</v>
      </c>
      <c r="B67" s="11" t="str">
        <f>IFERROR(VLOOKUP(A67, Locations!$A:$B, 2, FALSE), "Check Site")</f>
        <v>Republic of Korea</v>
      </c>
      <c r="C67" s="13">
        <f>IFERROR(VLOOKUP(A67, QS_Data!$A$1:$B$100, 2, FALSE), 101)</f>
        <v>64</v>
      </c>
      <c r="D67" s="12">
        <f>IFERROR(VLOOKUP(A67, ARWU_Data!$A$1:$B$30, 2, FALSE), 101)</f>
        <v>101</v>
      </c>
      <c r="E67" s="12">
        <f>IFERROR(VLOOKUP(A67, CWUR_Data!$A$1:$B$10, 2, FALSE), 101)</f>
        <v>101</v>
      </c>
      <c r="F67" s="12">
        <f>IF(C67&lt;=100, 101-C67, 0) + IF(D67&lt;=30, 101-D67, 0) + IF(E67&lt;=10, 101-E67, 0)</f>
        <v>37</v>
      </c>
      <c r="G67" s="16">
        <f>_xlfn.RANK.EQ(F67, $F$2:$F$176, 0)</f>
        <v>66</v>
      </c>
    </row>
    <row r="68" spans="1:7" x14ac:dyDescent="0.4">
      <c r="A68" s="11" t="s">
        <v>279</v>
      </c>
      <c r="B68" s="11" t="str">
        <f>IFERROR(VLOOKUP(A68, Locations!$A:$B, 2, FALSE), "Check Site")</f>
        <v>Brazil</v>
      </c>
      <c r="C68" s="13">
        <f>IFERROR(VLOOKUP(A68, QS_Data!$A$1:$B$100, 2, FALSE), 101)</f>
        <v>65</v>
      </c>
      <c r="D68" s="12">
        <f>IFERROR(VLOOKUP(A68, ARWU_Data!$A$1:$B$30, 2, FALSE), 101)</f>
        <v>101</v>
      </c>
      <c r="E68" s="12">
        <f>IFERROR(VLOOKUP(A68, CWUR_Data!$A$1:$B$10, 2, FALSE), 101)</f>
        <v>101</v>
      </c>
      <c r="F68" s="12">
        <f>IF(C68&lt;=100, 101-C68, 0) + IF(D68&lt;=30, 101-D68, 0) + IF(E68&lt;=10, 101-E68, 0)</f>
        <v>36</v>
      </c>
      <c r="G68" s="16">
        <f>_xlfn.RANK.EQ(F68, $F$2:$F$176, 0)</f>
        <v>67</v>
      </c>
    </row>
    <row r="69" spans="1:7" x14ac:dyDescent="0.4">
      <c r="A69" s="11" t="s">
        <v>336</v>
      </c>
      <c r="B69" s="11" t="str">
        <f>IFERROR(VLOOKUP(A69, Locations!$A:$B, 2, FALSE), "Check Site")</f>
        <v>Switzerland</v>
      </c>
      <c r="C69" s="13">
        <f>IFERROR(VLOOKUP(A69, QS_Data!$A$1:$B$100, 2, FALSE), 101)</f>
        <v>68</v>
      </c>
      <c r="D69" s="12">
        <f>IFERROR(VLOOKUP(A69, ARWU_Data!$A$1:$B$30, 2, FALSE), 101)</f>
        <v>101</v>
      </c>
      <c r="E69" s="12">
        <f>IFERROR(VLOOKUP(A69, CWUR_Data!$A$1:$B$10, 2, FALSE), 101)</f>
        <v>101</v>
      </c>
      <c r="F69" s="12">
        <f>IF(C69&lt;=100, 101-C69, 0) + IF(D69&lt;=30, 101-D69, 0) + IF(E69&lt;=10, 101-E69, 0)</f>
        <v>33</v>
      </c>
      <c r="G69" s="16">
        <f>_xlfn.RANK.EQ(F69, $F$2:$F$176, 0)</f>
        <v>68</v>
      </c>
    </row>
    <row r="70" spans="1:7" x14ac:dyDescent="0.4">
      <c r="A70" s="11" t="s">
        <v>363</v>
      </c>
      <c r="B70" s="11" t="str">
        <f>IFERROR(VLOOKUP(A70, Locations!$A:$B, 2, FALSE), "Check Site")</f>
        <v>Check Site</v>
      </c>
      <c r="C70" s="13">
        <f>IFERROR(VLOOKUP(A70, QS_Data!$A$1:$B$100, 2, FALSE), 101)</f>
        <v>68</v>
      </c>
      <c r="D70" s="12">
        <f>IFERROR(VLOOKUP(A70, ARWU_Data!$A$1:$B$30, 2, FALSE), 101)</f>
        <v>101</v>
      </c>
      <c r="E70" s="12">
        <f>IFERROR(VLOOKUP(A70, CWUR_Data!$A$1:$B$10, 2, FALSE), 101)</f>
        <v>101</v>
      </c>
      <c r="F70" s="12">
        <f>IF(C70&lt;=100, 101-C70, 0) + IF(D70&lt;=30, 101-D70, 0) + IF(E70&lt;=10, 101-E70, 0)</f>
        <v>33</v>
      </c>
      <c r="G70" s="16">
        <f>_xlfn.RANK.EQ(F70, $F$2:$F$176, 0)</f>
        <v>68</v>
      </c>
    </row>
    <row r="71" spans="1:7" x14ac:dyDescent="0.4">
      <c r="A71" s="11" t="s">
        <v>233</v>
      </c>
      <c r="B71" s="11" t="str">
        <f>IFERROR(VLOOKUP(A71, Locations!$A:$B, 2, FALSE), "Check Site")</f>
        <v>France</v>
      </c>
      <c r="C71" s="13">
        <f>IFERROR(VLOOKUP(A71, QS_Data!$A$1:$B$100, 2, FALSE), 101)</f>
        <v>70</v>
      </c>
      <c r="D71" s="12">
        <f>IFERROR(VLOOKUP(A71, ARWU_Data!$A$1:$B$30, 2, FALSE), 101)</f>
        <v>101</v>
      </c>
      <c r="E71" s="12">
        <f>IFERROR(VLOOKUP(A71, CWUR_Data!$A$1:$B$10, 2, FALSE), 101)</f>
        <v>101</v>
      </c>
      <c r="F71" s="12">
        <f>IF(C71&lt;=100, 101-C71, 0) + IF(D71&lt;=30, 101-D71, 0) + IF(E71&lt;=10, 101-E71, 0)</f>
        <v>31</v>
      </c>
      <c r="G71" s="16">
        <f>_xlfn.RANK.EQ(F71, $F$2:$F$176, 0)</f>
        <v>70</v>
      </c>
    </row>
    <row r="72" spans="1:7" x14ac:dyDescent="0.4">
      <c r="A72" s="11" t="s">
        <v>238</v>
      </c>
      <c r="B72" s="11" t="str">
        <f>IFERROR(VLOOKUP(A72, Locations!$A:$B, 2, FALSE), "Check Site")</f>
        <v>Germany</v>
      </c>
      <c r="C72" s="13">
        <f>IFERROR(VLOOKUP(A72, QS_Data!$A$1:$B$100, 2, FALSE), 101)</f>
        <v>72</v>
      </c>
      <c r="D72" s="12">
        <f>IFERROR(VLOOKUP(A72, ARWU_Data!$A$1:$B$30, 2, FALSE), 101)</f>
        <v>101</v>
      </c>
      <c r="E72" s="12">
        <f>IFERROR(VLOOKUP(A72, CWUR_Data!$A$1:$B$10, 2, FALSE), 101)</f>
        <v>101</v>
      </c>
      <c r="F72" s="12">
        <f>IF(C72&lt;=100, 101-C72, 0) + IF(D72&lt;=30, 101-D72, 0) + IF(E72&lt;=10, 101-E72, 0)</f>
        <v>29</v>
      </c>
      <c r="G72" s="16">
        <f>_xlfn.RANK.EQ(F72, $F$2:$F$176, 0)</f>
        <v>71</v>
      </c>
    </row>
    <row r="73" spans="1:7" x14ac:dyDescent="0.4">
      <c r="A73" s="11" t="s">
        <v>364</v>
      </c>
      <c r="B73" s="11" t="str">
        <f>IFERROR(VLOOKUP(A73, Locations!$A:$B, 2, FALSE), "Check Site")</f>
        <v>Norway</v>
      </c>
      <c r="C73" s="13">
        <f>IFERROR(VLOOKUP(A73, QS_Data!$A$1:$B$100, 2, FALSE), 101)</f>
        <v>72</v>
      </c>
      <c r="D73" s="12">
        <f>IFERROR(VLOOKUP(A73, ARWU_Data!$A$1:$B$30, 2, FALSE), 101)</f>
        <v>101</v>
      </c>
      <c r="E73" s="12">
        <f>IFERROR(VLOOKUP(A73, CWUR_Data!$A$1:$B$10, 2, FALSE), 101)</f>
        <v>101</v>
      </c>
      <c r="F73" s="12">
        <f>IF(C73&lt;=100, 101-C73, 0) + IF(D73&lt;=30, 101-D73, 0) + IF(E73&lt;=10, 101-E73, 0)</f>
        <v>29</v>
      </c>
      <c r="G73" s="16">
        <f>_xlfn.RANK.EQ(F73, $F$2:$F$176, 0)</f>
        <v>71</v>
      </c>
    </row>
    <row r="74" spans="1:7" x14ac:dyDescent="0.4">
      <c r="A74" s="20" t="s">
        <v>287</v>
      </c>
      <c r="B74" s="11" t="str">
        <f>IFERROR(VLOOKUP(A74, Locations!$A:$B, 2, FALSE), "Check Site")</f>
        <v>Chile</v>
      </c>
      <c r="C74" s="13">
        <f>IFERROR(VLOOKUP(A74, QS_Data!$A$1:$B$100, 2, FALSE), 101)</f>
        <v>72</v>
      </c>
      <c r="D74" s="12">
        <f>IFERROR(VLOOKUP(A74, ARWU_Data!$A$1:$B$30, 2, FALSE), 101)</f>
        <v>101</v>
      </c>
      <c r="E74" s="12">
        <f>IFERROR(VLOOKUP(A74, CWUR_Data!$A$1:$B$10, 2, FALSE), 101)</f>
        <v>101</v>
      </c>
      <c r="F74" s="12">
        <f>IF(C74&lt;=100, 101-C74, 0) + IF(D74&lt;=30, 101-D74, 0) + IF(E74&lt;=10, 101-E74, 0)</f>
        <v>29</v>
      </c>
      <c r="G74" s="16">
        <f>_xlfn.RANK.EQ(F74, $F$2:$F$176, 0)</f>
        <v>71</v>
      </c>
    </row>
    <row r="75" spans="1:7" x14ac:dyDescent="0.4">
      <c r="A75" s="11" t="s">
        <v>366</v>
      </c>
      <c r="B75" s="11" t="str">
        <f>IFERROR(VLOOKUP(A75, Locations!$A:$B, 2, FALSE), "Check Site")</f>
        <v>United States of America</v>
      </c>
      <c r="C75" s="13">
        <f>IFERROR(VLOOKUP(A75, QS_Data!$A$1:$B$100, 2, FALSE), 101)</f>
        <v>75</v>
      </c>
      <c r="D75" s="12">
        <f>IFERROR(VLOOKUP(A75, ARWU_Data!$A$1:$B$30, 2, FALSE), 101)</f>
        <v>101</v>
      </c>
      <c r="E75" s="12">
        <f>IFERROR(VLOOKUP(A75, CWUR_Data!$A$1:$B$10, 2, FALSE), 101)</f>
        <v>101</v>
      </c>
      <c r="F75" s="12">
        <f>IF(C75&lt;=100, 101-C75, 0) + IF(D75&lt;=30, 101-D75, 0) + IF(E75&lt;=10, 101-E75, 0)</f>
        <v>26</v>
      </c>
      <c r="G75" s="16">
        <f>_xlfn.RANK.EQ(F75, $F$2:$F$176, 0)</f>
        <v>74</v>
      </c>
    </row>
    <row r="76" spans="1:7" x14ac:dyDescent="0.4">
      <c r="A76" s="11" t="s">
        <v>367</v>
      </c>
      <c r="B76" s="11" t="str">
        <f>IFERROR(VLOOKUP(A76, Locations!$A:$B, 2, FALSE), "Check Site")</f>
        <v>Sweden</v>
      </c>
      <c r="C76" s="13">
        <f>IFERROR(VLOOKUP(A76, QS_Data!$A$1:$B$100, 2, FALSE), 101)</f>
        <v>77</v>
      </c>
      <c r="D76" s="12">
        <f>IFERROR(VLOOKUP(A76, ARWU_Data!$A$1:$B$30, 2, FALSE), 101)</f>
        <v>101</v>
      </c>
      <c r="E76" s="12">
        <f>IFERROR(VLOOKUP(A76, CWUR_Data!$A$1:$B$10, 2, FALSE), 101)</f>
        <v>101</v>
      </c>
      <c r="F76" s="12">
        <f>IF(C76&lt;=100, 101-C76, 0) + IF(D76&lt;=30, 101-D76, 0) + IF(E76&lt;=10, 101-E76, 0)</f>
        <v>24</v>
      </c>
      <c r="G76" s="16">
        <f>_xlfn.RANK.EQ(F76, $F$2:$F$176, 0)</f>
        <v>75</v>
      </c>
    </row>
    <row r="77" spans="1:7" x14ac:dyDescent="0.4">
      <c r="A77" s="11" t="s">
        <v>283</v>
      </c>
      <c r="B77" s="11" t="str">
        <f>IFERROR(VLOOKUP(A77, Locations!$A:$B, 2, FALSE), "Check Site")</f>
        <v>United Kingdom</v>
      </c>
      <c r="C77" s="13">
        <f>IFERROR(VLOOKUP(A77, QS_Data!$A$1:$B$100, 2, FALSE), 101)</f>
        <v>78</v>
      </c>
      <c r="D77" s="12">
        <f>IFERROR(VLOOKUP(A77, ARWU_Data!$A$1:$B$30, 2, FALSE), 101)</f>
        <v>101</v>
      </c>
      <c r="E77" s="12">
        <f>IFERROR(VLOOKUP(A77, CWUR_Data!$A$1:$B$10, 2, FALSE), 101)</f>
        <v>101</v>
      </c>
      <c r="F77" s="12">
        <f>IF(C77&lt;=100, 101-C77, 0) + IF(D77&lt;=30, 101-D77, 0) + IF(E77&lt;=10, 101-E77, 0)</f>
        <v>23</v>
      </c>
      <c r="G77" s="16">
        <f>_xlfn.RANK.EQ(F77, $F$2:$F$176, 0)</f>
        <v>76</v>
      </c>
    </row>
    <row r="78" spans="1:7" x14ac:dyDescent="0.4">
      <c r="A78" s="11" t="s">
        <v>245</v>
      </c>
      <c r="B78" s="11" t="str">
        <f>IFERROR(VLOOKUP(A78, Locations!$A:$B, 2, FALSE), "Check Site")</f>
        <v>United Kingdom</v>
      </c>
      <c r="C78" s="13">
        <f>IFERROR(VLOOKUP(A78, QS_Data!$A$1:$B$100, 2, FALSE), 101)</f>
        <v>79</v>
      </c>
      <c r="D78" s="12">
        <f>IFERROR(VLOOKUP(A78, ARWU_Data!$A$1:$B$30, 2, FALSE), 101)</f>
        <v>101</v>
      </c>
      <c r="E78" s="12">
        <f>IFERROR(VLOOKUP(A78, CWUR_Data!$A$1:$B$10, 2, FALSE), 101)</f>
        <v>101</v>
      </c>
      <c r="F78" s="12">
        <f>IF(C78&lt;=100, 101-C78, 0) + IF(D78&lt;=30, 101-D78, 0) + IF(E78&lt;=10, 101-E78, 0)</f>
        <v>22</v>
      </c>
      <c r="G78" s="16">
        <f>_xlfn.RANK.EQ(F78, $F$2:$F$176, 0)</f>
        <v>77</v>
      </c>
    </row>
    <row r="79" spans="1:7" x14ac:dyDescent="0.4">
      <c r="A79" s="22" t="s">
        <v>267</v>
      </c>
      <c r="B79" s="11" t="str">
        <f>IFERROR(VLOOKUP(A79, Locations!$A:$B, 2, FALSE), "Check Site")</f>
        <v>Australia</v>
      </c>
      <c r="C79" s="13">
        <f>IFERROR(VLOOKUP(A79, QS_Data!$A$1:$B$100, 2, FALSE), 101)</f>
        <v>79</v>
      </c>
      <c r="D79" s="12">
        <f>IFERROR(VLOOKUP(A79, ARWU_Data!$A$1:$B$30, 2, FALSE), 101)</f>
        <v>101</v>
      </c>
      <c r="E79" s="12">
        <f>IFERROR(VLOOKUP(A79, CWUR_Data!$A$1:$B$10, 2, FALSE), 101)</f>
        <v>101</v>
      </c>
      <c r="F79" s="12">
        <f>IF(C79&lt;=100, 101-C79, 0) + IF(D79&lt;=30, 101-D79, 0) + IF(E79&lt;=10, 101-E79, 0)</f>
        <v>22</v>
      </c>
      <c r="G79" s="16">
        <f>_xlfn.RANK.EQ(F79, $F$2:$F$176, 0)</f>
        <v>77</v>
      </c>
    </row>
    <row r="80" spans="1:7" x14ac:dyDescent="0.4">
      <c r="A80" s="11" t="s">
        <v>264</v>
      </c>
      <c r="B80" s="11" t="str">
        <f>IFERROR(VLOOKUP(A80, Locations!$A:$B, 2, FALSE), "Check Site")</f>
        <v>Ireland</v>
      </c>
      <c r="C80" s="13">
        <f>IFERROR(VLOOKUP(A80, QS_Data!$A$1:$B$100, 2, FALSE), 101)</f>
        <v>81</v>
      </c>
      <c r="D80" s="12">
        <f>IFERROR(VLOOKUP(A80, ARWU_Data!$A$1:$B$30, 2, FALSE), 101)</f>
        <v>101</v>
      </c>
      <c r="E80" s="12">
        <f>IFERROR(VLOOKUP(A80, CWUR_Data!$A$1:$B$10, 2, FALSE), 101)</f>
        <v>101</v>
      </c>
      <c r="F80" s="12">
        <f>IF(C80&lt;=100, 101-C80, 0) + IF(D80&lt;=30, 101-D80, 0) + IF(E80&lt;=10, 101-E80, 0)</f>
        <v>20</v>
      </c>
      <c r="G80" s="16">
        <f>_xlfn.RANK.EQ(F80, $F$2:$F$176, 0)</f>
        <v>79</v>
      </c>
    </row>
    <row r="81" spans="1:7" x14ac:dyDescent="0.4">
      <c r="A81" s="11" t="s">
        <v>282</v>
      </c>
      <c r="B81" s="11" t="str">
        <f>IFERROR(VLOOKUP(A81, Locations!$A:$B, 2, FALSE), "Check Site")</f>
        <v>United Kingdom</v>
      </c>
      <c r="C81" s="13">
        <f>IFERROR(VLOOKUP(A81, QS_Data!$A$1:$B$100, 2, FALSE), 101)</f>
        <v>82</v>
      </c>
      <c r="D81" s="12">
        <f>IFERROR(VLOOKUP(A81, ARWU_Data!$A$1:$B$30, 2, FALSE), 101)</f>
        <v>101</v>
      </c>
      <c r="E81" s="12">
        <f>IFERROR(VLOOKUP(A81, CWUR_Data!$A$1:$B$10, 2, FALSE), 101)</f>
        <v>101</v>
      </c>
      <c r="F81" s="12">
        <f>IF(C81&lt;=100, 101-C81, 0) + IF(D81&lt;=30, 101-D81, 0) + IF(E81&lt;=10, 101-E81, 0)</f>
        <v>19</v>
      </c>
      <c r="G81" s="16">
        <f>_xlfn.RANK.EQ(F81, $F$2:$F$176, 0)</f>
        <v>80</v>
      </c>
    </row>
    <row r="82" spans="1:7" x14ac:dyDescent="0.4">
      <c r="A82" s="11" t="s">
        <v>303</v>
      </c>
      <c r="B82" s="11" t="str">
        <f>IFERROR(VLOOKUP(A82, Locations!$A:$B, 2, FALSE), "Check Site")</f>
        <v>United States of America</v>
      </c>
      <c r="C82" s="13">
        <f>IFERROR(VLOOKUP(A82, QS_Data!$A$1:$B$100, 2, FALSE), 101)</f>
        <v>83</v>
      </c>
      <c r="D82" s="12">
        <f>IFERROR(VLOOKUP(A82, ARWU_Data!$A$1:$B$30, 2, FALSE), 101)</f>
        <v>101</v>
      </c>
      <c r="E82" s="12">
        <f>IFERROR(VLOOKUP(A82, CWUR_Data!$A$1:$B$10, 2, FALSE), 101)</f>
        <v>101</v>
      </c>
      <c r="F82" s="12">
        <f>IF(C82&lt;=100, 101-C82, 0) + IF(D82&lt;=30, 101-D82, 0) + IF(E82&lt;=10, 101-E82, 0)</f>
        <v>18</v>
      </c>
      <c r="G82" s="16">
        <f>_xlfn.RANK.EQ(F82, $F$2:$F$176, 0)</f>
        <v>81</v>
      </c>
    </row>
    <row r="83" spans="1:7" x14ac:dyDescent="0.4">
      <c r="A83" s="11" t="s">
        <v>269</v>
      </c>
      <c r="B83" s="11" t="str">
        <f>IFERROR(VLOOKUP(A83, Locations!$A:$B, 2, FALSE), "Check Site")</f>
        <v>Japan</v>
      </c>
      <c r="C83" s="13">
        <f>IFERROR(VLOOKUP(A83, QS_Data!$A$1:$B$100, 2, FALSE), 101)</f>
        <v>84</v>
      </c>
      <c r="D83" s="12">
        <f>IFERROR(VLOOKUP(A83, ARWU_Data!$A$1:$B$30, 2, FALSE), 101)</f>
        <v>101</v>
      </c>
      <c r="E83" s="12">
        <f>IFERROR(VLOOKUP(A83, CWUR_Data!$A$1:$B$10, 2, FALSE), 101)</f>
        <v>101</v>
      </c>
      <c r="F83" s="12">
        <f>IF(C83&lt;=100, 101-C83, 0) + IF(D83&lt;=30, 101-D83, 0) + IF(E83&lt;=10, 101-E83, 0)</f>
        <v>17</v>
      </c>
      <c r="G83" s="16">
        <f>_xlfn.RANK.EQ(F83, $F$2:$F$176, 0)</f>
        <v>82</v>
      </c>
    </row>
    <row r="84" spans="1:7" x14ac:dyDescent="0.4">
      <c r="A84" s="11" t="s">
        <v>368</v>
      </c>
      <c r="B84" s="11" t="str">
        <f>IFERROR(VLOOKUP(A84, Locations!$A:$B, 2, FALSE), "Check Site")</f>
        <v>United States of America</v>
      </c>
      <c r="C84" s="13">
        <f>IFERROR(VLOOKUP(A84, QS_Data!$A$1:$B$100, 2, FALSE), 101)</f>
        <v>84</v>
      </c>
      <c r="D84" s="12">
        <f>IFERROR(VLOOKUP(A84, ARWU_Data!$A$1:$B$30, 2, FALSE), 101)</f>
        <v>101</v>
      </c>
      <c r="E84" s="12">
        <f>IFERROR(VLOOKUP(A84, CWUR_Data!$A$1:$B$10, 2, FALSE), 101)</f>
        <v>101</v>
      </c>
      <c r="F84" s="12">
        <f>IF(C84&lt;=100, 101-C84, 0) + IF(D84&lt;=30, 101-D84, 0) + IF(E84&lt;=10, 101-E84, 0)</f>
        <v>17</v>
      </c>
      <c r="G84" s="16">
        <f>_xlfn.RANK.EQ(F84, $F$2:$F$176, 0)</f>
        <v>82</v>
      </c>
    </row>
    <row r="85" spans="1:7" x14ac:dyDescent="0.4">
      <c r="A85" s="11" t="s">
        <v>286</v>
      </c>
      <c r="B85" s="11" t="str">
        <f>IFERROR(VLOOKUP(A85, Locations!$A:$B, 2, FALSE), "Check Site")</f>
        <v>United Kingdom</v>
      </c>
      <c r="C85" s="13">
        <f>IFERROR(VLOOKUP(A85, QS_Data!$A$1:$B$100, 2, FALSE), 101)</f>
        <v>84</v>
      </c>
      <c r="D85" s="12">
        <f>IFERROR(VLOOKUP(A85, ARWU_Data!$A$1:$B$30, 2, FALSE), 101)</f>
        <v>101</v>
      </c>
      <c r="E85" s="12">
        <f>IFERROR(VLOOKUP(A85, CWUR_Data!$A$1:$B$10, 2, FALSE), 101)</f>
        <v>101</v>
      </c>
      <c r="F85" s="12">
        <f>IF(C85&lt;=100, 101-C85, 0) + IF(D85&lt;=30, 101-D85, 0) + IF(E85&lt;=10, 101-E85, 0)</f>
        <v>17</v>
      </c>
      <c r="G85" s="16">
        <f>_xlfn.RANK.EQ(F85, $F$2:$F$176, 0)</f>
        <v>82</v>
      </c>
    </row>
    <row r="86" spans="1:7" x14ac:dyDescent="0.4">
      <c r="A86" s="11" t="s">
        <v>278</v>
      </c>
      <c r="B86" s="11" t="str">
        <f>IFERROR(VLOOKUP(A86, Locations!$A:$B, 2, FALSE), "Check Site")</f>
        <v>United Kingdom</v>
      </c>
      <c r="C86" s="13">
        <f>IFERROR(VLOOKUP(A86, QS_Data!$A$1:$B$100, 2, FALSE), 101)</f>
        <v>87</v>
      </c>
      <c r="D86" s="12">
        <f>IFERROR(VLOOKUP(A86, ARWU_Data!$A$1:$B$30, 2, FALSE), 101)</f>
        <v>101</v>
      </c>
      <c r="E86" s="12">
        <f>IFERROR(VLOOKUP(A86, CWUR_Data!$A$1:$B$10, 2, FALSE), 101)</f>
        <v>101</v>
      </c>
      <c r="F86" s="12">
        <f>IF(C86&lt;=100, 101-C86, 0) + IF(D86&lt;=30, 101-D86, 0) + IF(E86&lt;=10, 101-E86, 0)</f>
        <v>14</v>
      </c>
      <c r="G86" s="16">
        <f>_xlfn.RANK.EQ(F86, $F$2:$F$176, 0)</f>
        <v>85</v>
      </c>
    </row>
    <row r="87" spans="1:7" x14ac:dyDescent="0.4">
      <c r="A87" s="11" t="s">
        <v>369</v>
      </c>
      <c r="B87" s="11" t="str">
        <f>IFERROR(VLOOKUP(A87, Locations!$A:$B, 2, FALSE), "Check Site")</f>
        <v>United Kingdom</v>
      </c>
      <c r="C87" s="13">
        <f>IFERROR(VLOOKUP(A87, QS_Data!$A$1:$B$100, 2, FALSE), 101)</f>
        <v>88</v>
      </c>
      <c r="D87" s="12">
        <f>IFERROR(VLOOKUP(A87, ARWU_Data!$A$1:$B$30, 2, FALSE), 101)</f>
        <v>101</v>
      </c>
      <c r="E87" s="12">
        <f>IFERROR(VLOOKUP(A87, CWUR_Data!$A$1:$B$10, 2, FALSE), 101)</f>
        <v>101</v>
      </c>
      <c r="F87" s="12">
        <f>IF(C87&lt;=100, 101-C87, 0) + IF(D87&lt;=30, 101-D87, 0) + IF(E87&lt;=10, 101-E87, 0)</f>
        <v>13</v>
      </c>
      <c r="G87" s="16">
        <f>_xlfn.RANK.EQ(F87, $F$2:$F$176, 0)</f>
        <v>86</v>
      </c>
    </row>
    <row r="88" spans="1:7" x14ac:dyDescent="0.4">
      <c r="A88" s="11" t="s">
        <v>249</v>
      </c>
      <c r="B88" s="11" t="str">
        <f>IFERROR(VLOOKUP(A88, Locations!$A:$B, 2, FALSE), "Check Site")</f>
        <v>Germany</v>
      </c>
      <c r="C88" s="13">
        <f>IFERROR(VLOOKUP(A88, QS_Data!$A$1:$B$100, 2, FALSE), 101)</f>
        <v>89</v>
      </c>
      <c r="D88" s="12">
        <f>IFERROR(VLOOKUP(A88, ARWU_Data!$A$1:$B$30, 2, FALSE), 101)</f>
        <v>101</v>
      </c>
      <c r="E88" s="12">
        <f>IFERROR(VLOOKUP(A88, CWUR_Data!$A$1:$B$10, 2, FALSE), 101)</f>
        <v>101</v>
      </c>
      <c r="F88" s="12">
        <f>IF(C88&lt;=100, 101-C88, 0) + IF(D88&lt;=30, 101-D88, 0) + IF(E88&lt;=10, 101-E88, 0)</f>
        <v>12</v>
      </c>
      <c r="G88" s="16">
        <f>_xlfn.RANK.EQ(F88, $F$2:$F$176, 0)</f>
        <v>87</v>
      </c>
    </row>
    <row r="89" spans="1:7" x14ac:dyDescent="0.4">
      <c r="A89" s="11" t="s">
        <v>370</v>
      </c>
      <c r="B89" s="11" t="str">
        <f>IFERROR(VLOOKUP(A89, Locations!$A:$B, 2, FALSE), "Check Site")</f>
        <v>Check Site</v>
      </c>
      <c r="C89" s="13">
        <f>IFERROR(VLOOKUP(A89, QS_Data!$A$1:$B$100, 2, FALSE), 101)</f>
        <v>90</v>
      </c>
      <c r="D89" s="12">
        <f>IFERROR(VLOOKUP(A89, ARWU_Data!$A$1:$B$30, 2, FALSE), 101)</f>
        <v>101</v>
      </c>
      <c r="E89" s="12">
        <f>IFERROR(VLOOKUP(A89, CWUR_Data!$A$1:$B$10, 2, FALSE), 101)</f>
        <v>101</v>
      </c>
      <c r="F89" s="12">
        <f>IF(C89&lt;=100, 101-C89, 0) + IF(D89&lt;=30, 101-D89, 0) + IF(E89&lt;=10, 101-E89, 0)</f>
        <v>11</v>
      </c>
      <c r="G89" s="16">
        <f>_xlfn.RANK.EQ(F89, $F$2:$F$176, 0)</f>
        <v>88</v>
      </c>
    </row>
    <row r="90" spans="1:7" x14ac:dyDescent="0.4">
      <c r="A90" s="11" t="s">
        <v>288</v>
      </c>
      <c r="B90" s="11" t="str">
        <f>IFERROR(VLOOKUP(A90, Locations!$A:$B, 2, FALSE), "Check Site")</f>
        <v>Australia</v>
      </c>
      <c r="C90" s="13">
        <f>IFERROR(VLOOKUP(A90, QS_Data!$A$1:$B$100, 2, FALSE), 101)</f>
        <v>91</v>
      </c>
      <c r="D90" s="12">
        <f>IFERROR(VLOOKUP(A90, ARWU_Data!$A$1:$B$30, 2, FALSE), 101)</f>
        <v>101</v>
      </c>
      <c r="E90" s="12">
        <f>IFERROR(VLOOKUP(A90, CWUR_Data!$A$1:$B$10, 2, FALSE), 101)</f>
        <v>101</v>
      </c>
      <c r="F90" s="12">
        <f>IF(C90&lt;=100, 101-C90, 0) + IF(D90&lt;=30, 101-D90, 0) + IF(E90&lt;=10, 101-E90, 0)</f>
        <v>10</v>
      </c>
      <c r="G90" s="16">
        <f>_xlfn.RANK.EQ(F90, $F$2:$F$176, 0)</f>
        <v>89</v>
      </c>
    </row>
    <row r="91" spans="1:7" x14ac:dyDescent="0.4">
      <c r="A91" s="11" t="s">
        <v>266</v>
      </c>
      <c r="B91" s="11" t="str">
        <f>IFERROR(VLOOKUP(A91, Locations!$A:$B, 2, FALSE), "Check Site")</f>
        <v>Austria</v>
      </c>
      <c r="C91" s="13">
        <f>IFERROR(VLOOKUP(A91, QS_Data!$A$1:$B$100, 2, FALSE), 101)</f>
        <v>91</v>
      </c>
      <c r="D91" s="12">
        <f>IFERROR(VLOOKUP(A91, ARWU_Data!$A$1:$B$30, 2, FALSE), 101)</f>
        <v>101</v>
      </c>
      <c r="E91" s="12">
        <f>IFERROR(VLOOKUP(A91, CWUR_Data!$A$1:$B$10, 2, FALSE), 101)</f>
        <v>101</v>
      </c>
      <c r="F91" s="12">
        <f>IF(C91&lt;=100, 101-C91, 0) + IF(D91&lt;=30, 101-D91, 0) + IF(E91&lt;=10, 101-E91, 0)</f>
        <v>10</v>
      </c>
      <c r="G91" s="16">
        <f>_xlfn.RANK.EQ(F91, $F$2:$F$176, 0)</f>
        <v>89</v>
      </c>
    </row>
    <row r="92" spans="1:7" x14ac:dyDescent="0.4">
      <c r="A92" s="11" t="s">
        <v>293</v>
      </c>
      <c r="B92" s="11" t="str">
        <f>IFERROR(VLOOKUP(A92, Locations!$A:$B, 2, FALSE), "Check Site")</f>
        <v>Check Site</v>
      </c>
      <c r="C92" s="13">
        <f>IFERROR(VLOOKUP(A92, QS_Data!$A$1:$B$100, 2, FALSE), 101)</f>
        <v>91</v>
      </c>
      <c r="D92" s="12">
        <f>IFERROR(VLOOKUP(A92, ARWU_Data!$A$1:$B$30, 2, FALSE), 101)</f>
        <v>101</v>
      </c>
      <c r="E92" s="12">
        <f>IFERROR(VLOOKUP(A92, CWUR_Data!$A$1:$B$10, 2, FALSE), 101)</f>
        <v>101</v>
      </c>
      <c r="F92" s="12">
        <f>IF(C92&lt;=100, 101-C92, 0) + IF(D92&lt;=30, 101-D92, 0) + IF(E92&lt;=10, 101-E92, 0)</f>
        <v>10</v>
      </c>
      <c r="G92" s="16">
        <f>_xlfn.RANK.EQ(F92, $F$2:$F$176, 0)</f>
        <v>89</v>
      </c>
    </row>
    <row r="93" spans="1:7" x14ac:dyDescent="0.4">
      <c r="A93" s="11" t="s">
        <v>276</v>
      </c>
      <c r="B93" s="11" t="str">
        <f>IFERROR(VLOOKUP(A93, Locations!$A:$B, 2, FALSE), "Check Site")</f>
        <v>Taiwan</v>
      </c>
      <c r="C93" s="13">
        <f>IFERROR(VLOOKUP(A93, QS_Data!$A$1:$B$100, 2, FALSE), 101)</f>
        <v>94</v>
      </c>
      <c r="D93" s="12">
        <f>IFERROR(VLOOKUP(A93, ARWU_Data!$A$1:$B$30, 2, FALSE), 101)</f>
        <v>101</v>
      </c>
      <c r="E93" s="12">
        <f>IFERROR(VLOOKUP(A93, CWUR_Data!$A$1:$B$10, 2, FALSE), 101)</f>
        <v>101</v>
      </c>
      <c r="F93" s="12">
        <f>IF(C93&lt;=100, 101-C93, 0) + IF(D93&lt;=30, 101-D93, 0) + IF(E93&lt;=10, 101-E93, 0)</f>
        <v>7</v>
      </c>
      <c r="G93" s="16">
        <f>_xlfn.RANK.EQ(F93, $F$2:$F$176, 0)</f>
        <v>92</v>
      </c>
    </row>
    <row r="94" spans="1:7" x14ac:dyDescent="0.4">
      <c r="A94" s="11" t="s">
        <v>371</v>
      </c>
      <c r="B94" s="11" t="str">
        <f>IFERROR(VLOOKUP(A94, Locations!$A:$B, 2, FALSE), "Check Site")</f>
        <v>Check Site</v>
      </c>
      <c r="C94" s="13">
        <f>IFERROR(VLOOKUP(A94, QS_Data!$A$1:$B$100, 2, FALSE), 101)</f>
        <v>95</v>
      </c>
      <c r="D94" s="12">
        <f>IFERROR(VLOOKUP(A94, ARWU_Data!$A$1:$B$30, 2, FALSE), 101)</f>
        <v>101</v>
      </c>
      <c r="E94" s="12">
        <f>IFERROR(VLOOKUP(A94, CWUR_Data!$A$1:$B$10, 2, FALSE), 101)</f>
        <v>101</v>
      </c>
      <c r="F94" s="12">
        <f>IF(C94&lt;=100, 101-C94, 0) + IF(D94&lt;=30, 101-D94, 0) + IF(E94&lt;=10, 101-E94, 0)</f>
        <v>6</v>
      </c>
      <c r="G94" s="16">
        <f>_xlfn.RANK.EQ(F94, $F$2:$F$176, 0)</f>
        <v>93</v>
      </c>
    </row>
    <row r="95" spans="1:7" x14ac:dyDescent="0.4">
      <c r="A95" s="11" t="s">
        <v>372</v>
      </c>
      <c r="B95" s="11" t="str">
        <f>IFERROR(VLOOKUP(A95, Locations!$A:$B, 2, FALSE), "Check Site")</f>
        <v>India</v>
      </c>
      <c r="C95" s="13">
        <f>IFERROR(VLOOKUP(A95, QS_Data!$A$1:$B$100, 2, FALSE), 101)</f>
        <v>95</v>
      </c>
      <c r="D95" s="12">
        <f>IFERROR(VLOOKUP(A95, ARWU_Data!$A$1:$B$30, 2, FALSE), 101)</f>
        <v>101</v>
      </c>
      <c r="E95" s="12">
        <f>IFERROR(VLOOKUP(A95, CWUR_Data!$A$1:$B$10, 2, FALSE), 101)</f>
        <v>101</v>
      </c>
      <c r="F95" s="12">
        <f>IF(C95&lt;=100, 101-C95, 0) + IF(D95&lt;=30, 101-D95, 0) + IF(E95&lt;=10, 101-E95, 0)</f>
        <v>6</v>
      </c>
      <c r="G95" s="16">
        <f>_xlfn.RANK.EQ(F95, $F$2:$F$176, 0)</f>
        <v>93</v>
      </c>
    </row>
    <row r="96" spans="1:7" x14ac:dyDescent="0.4">
      <c r="A96" s="11" t="s">
        <v>373</v>
      </c>
      <c r="B96" s="11" t="str">
        <f>IFERROR(VLOOKUP(A96, Locations!$A:$B, 2, FALSE), "Check Site")</f>
        <v>United States of America</v>
      </c>
      <c r="C96" s="13">
        <f>IFERROR(VLOOKUP(A96, QS_Data!$A$1:$B$100, 2, FALSE), 101)</f>
        <v>97</v>
      </c>
      <c r="D96" s="12">
        <f>IFERROR(VLOOKUP(A96, ARWU_Data!$A$1:$B$30, 2, FALSE), 101)</f>
        <v>101</v>
      </c>
      <c r="E96" s="12">
        <f>IFERROR(VLOOKUP(A96, CWUR_Data!$A$1:$B$10, 2, FALSE), 101)</f>
        <v>101</v>
      </c>
      <c r="F96" s="12">
        <f>IF(C96&lt;=100, 101-C96, 0) + IF(D96&lt;=30, 101-D96, 0) + IF(E96&lt;=10, 101-E96, 0)</f>
        <v>4</v>
      </c>
      <c r="G96" s="16">
        <f>_xlfn.RANK.EQ(F96, $F$2:$F$176, 0)</f>
        <v>95</v>
      </c>
    </row>
    <row r="97" spans="1:2" x14ac:dyDescent="0.4">
      <c r="A97" s="13"/>
      <c r="B97" s="13"/>
    </row>
    <row r="98" spans="1:2" x14ac:dyDescent="0.4">
      <c r="A98" s="13"/>
      <c r="B98" s="13"/>
    </row>
    <row r="99" spans="1:2" x14ac:dyDescent="0.4">
      <c r="A99" s="13"/>
      <c r="B99" s="13"/>
    </row>
    <row r="100" spans="1:2" x14ac:dyDescent="0.4">
      <c r="A100" s="13"/>
      <c r="B100" s="13"/>
    </row>
    <row r="101" spans="1:2" x14ac:dyDescent="0.4">
      <c r="A101" s="13"/>
      <c r="B101" s="13"/>
    </row>
    <row r="102" spans="1:2" x14ac:dyDescent="0.4">
      <c r="A102" s="13"/>
      <c r="B102" s="13"/>
    </row>
    <row r="103" spans="1:2" x14ac:dyDescent="0.4">
      <c r="A103" s="13"/>
      <c r="B103" s="13"/>
    </row>
    <row r="104" spans="1:2" x14ac:dyDescent="0.4">
      <c r="A104" s="13"/>
      <c r="B104" s="13"/>
    </row>
    <row r="105" spans="1:2" x14ac:dyDescent="0.4">
      <c r="A105" s="13"/>
      <c r="B105" s="13"/>
    </row>
    <row r="106" spans="1:2" x14ac:dyDescent="0.4">
      <c r="A106" s="13"/>
      <c r="B106" s="13"/>
    </row>
    <row r="107" spans="1:2" x14ac:dyDescent="0.4">
      <c r="A107" s="13"/>
      <c r="B107" s="13"/>
    </row>
    <row r="108" spans="1:2" x14ac:dyDescent="0.4">
      <c r="A108" s="13"/>
      <c r="B108" s="13"/>
    </row>
    <row r="109" spans="1:2" x14ac:dyDescent="0.4">
      <c r="A109" s="13"/>
      <c r="B109" s="13"/>
    </row>
    <row r="110" spans="1:2" x14ac:dyDescent="0.4">
      <c r="A110" s="13"/>
      <c r="B110" s="13"/>
    </row>
    <row r="111" spans="1:2" x14ac:dyDescent="0.4">
      <c r="A111" s="13"/>
      <c r="B111" s="13"/>
    </row>
    <row r="112" spans="1:2" x14ac:dyDescent="0.4">
      <c r="A112" s="13"/>
      <c r="B112" s="13"/>
    </row>
    <row r="113" spans="1:2" x14ac:dyDescent="0.4">
      <c r="A113" s="13"/>
      <c r="B113" s="13"/>
    </row>
    <row r="114" spans="1:2" x14ac:dyDescent="0.4">
      <c r="A114" s="13"/>
      <c r="B114" s="13"/>
    </row>
    <row r="115" spans="1:2" x14ac:dyDescent="0.4">
      <c r="A115" s="13"/>
      <c r="B115" s="13"/>
    </row>
    <row r="116" spans="1:2" x14ac:dyDescent="0.4">
      <c r="A116" s="13"/>
      <c r="B116" s="13"/>
    </row>
    <row r="117" spans="1:2" x14ac:dyDescent="0.4">
      <c r="A117" s="13"/>
      <c r="B117" s="13"/>
    </row>
    <row r="118" spans="1:2" x14ac:dyDescent="0.4">
      <c r="A118" s="13"/>
      <c r="B118" s="13"/>
    </row>
    <row r="119" spans="1:2" x14ac:dyDescent="0.4">
      <c r="A119" s="13"/>
      <c r="B119" s="13"/>
    </row>
    <row r="120" spans="1:2" x14ac:dyDescent="0.4">
      <c r="A120" s="13"/>
      <c r="B120" s="13"/>
    </row>
  </sheetData>
  <sortState xmlns:xlrd2="http://schemas.microsoft.com/office/spreadsheetml/2017/richdata2" ref="A2:G96">
    <sortCondition ref="G2:G96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675B-B69C-4D76-9EFC-E0C2212FDA6C}">
  <dimension ref="A1:B1505"/>
  <sheetViews>
    <sheetView topLeftCell="A50" workbookViewId="0">
      <selection activeCell="A56" sqref="A56"/>
    </sheetView>
  </sheetViews>
  <sheetFormatPr defaultRowHeight="14.6" x14ac:dyDescent="0.4"/>
  <cols>
    <col min="1" max="1" width="62.921875" customWidth="1"/>
    <col min="2" max="2" width="22.69140625" customWidth="1"/>
  </cols>
  <sheetData>
    <row r="1" spans="1:2" x14ac:dyDescent="0.4">
      <c r="A1" s="17" t="s">
        <v>630</v>
      </c>
      <c r="B1" s="17" t="s">
        <v>631</v>
      </c>
    </row>
    <row r="2" spans="1:2" x14ac:dyDescent="0.4">
      <c r="A2" s="3" t="s">
        <v>228</v>
      </c>
      <c r="B2" s="3" t="s">
        <v>402</v>
      </c>
    </row>
    <row r="3" spans="1:2" x14ac:dyDescent="0.4">
      <c r="A3" s="2" t="s">
        <v>308</v>
      </c>
      <c r="B3" s="2" t="s">
        <v>344</v>
      </c>
    </row>
    <row r="4" spans="1:2" x14ac:dyDescent="0.4">
      <c r="A4" s="3" t="s">
        <v>219</v>
      </c>
      <c r="B4" s="3" t="s">
        <v>402</v>
      </c>
    </row>
    <row r="5" spans="1:2" x14ac:dyDescent="0.4">
      <c r="A5" s="2" t="s">
        <v>216</v>
      </c>
      <c r="B5" s="2" t="s">
        <v>344</v>
      </c>
    </row>
    <row r="6" spans="1:2" x14ac:dyDescent="0.4">
      <c r="A6" s="3" t="s">
        <v>217</v>
      </c>
      <c r="B6" s="3" t="s">
        <v>402</v>
      </c>
    </row>
    <row r="7" spans="1:2" x14ac:dyDescent="0.4">
      <c r="A7" s="2" t="s">
        <v>218</v>
      </c>
      <c r="B7" s="2" t="s">
        <v>344</v>
      </c>
    </row>
    <row r="8" spans="1:2" x14ac:dyDescent="0.4">
      <c r="A8" s="3" t="s">
        <v>632</v>
      </c>
      <c r="B8" s="3" t="s">
        <v>346</v>
      </c>
    </row>
    <row r="9" spans="1:2" x14ac:dyDescent="0.4">
      <c r="A9" s="2" t="s">
        <v>232</v>
      </c>
      <c r="B9" s="2" t="s">
        <v>403</v>
      </c>
    </row>
    <row r="10" spans="1:2" x14ac:dyDescent="0.4">
      <c r="A10" s="3" t="s">
        <v>633</v>
      </c>
      <c r="B10" s="3" t="s">
        <v>344</v>
      </c>
    </row>
    <row r="11" spans="1:2" x14ac:dyDescent="0.4">
      <c r="A11" s="2" t="s">
        <v>306</v>
      </c>
      <c r="B11" s="2" t="s">
        <v>402</v>
      </c>
    </row>
    <row r="12" spans="1:2" x14ac:dyDescent="0.4">
      <c r="A12" s="3" t="s">
        <v>234</v>
      </c>
      <c r="B12" s="3" t="s">
        <v>409</v>
      </c>
    </row>
    <row r="13" spans="1:2" x14ac:dyDescent="0.4">
      <c r="A13" s="2" t="s">
        <v>253</v>
      </c>
      <c r="B13" s="2" t="s">
        <v>403</v>
      </c>
    </row>
    <row r="14" spans="1:2" x14ac:dyDescent="0.4">
      <c r="A14" s="3" t="s">
        <v>230</v>
      </c>
      <c r="B14" s="3" t="s">
        <v>402</v>
      </c>
    </row>
    <row r="15" spans="1:2" x14ac:dyDescent="0.4">
      <c r="A15" s="2" t="s">
        <v>235</v>
      </c>
      <c r="B15" s="2" t="s">
        <v>405</v>
      </c>
    </row>
    <row r="16" spans="1:2" x14ac:dyDescent="0.4">
      <c r="A16" s="3" t="s">
        <v>248</v>
      </c>
      <c r="B16" s="3" t="s">
        <v>402</v>
      </c>
    </row>
    <row r="17" spans="1:2" x14ac:dyDescent="0.4">
      <c r="A17" s="2" t="s">
        <v>251</v>
      </c>
      <c r="B17" s="2" t="s">
        <v>402</v>
      </c>
    </row>
    <row r="18" spans="1:2" x14ac:dyDescent="0.4">
      <c r="A18" s="3" t="s">
        <v>241</v>
      </c>
      <c r="B18" s="3" t="s">
        <v>405</v>
      </c>
    </row>
    <row r="19" spans="1:2" x14ac:dyDescent="0.4">
      <c r="A19" s="2" t="s">
        <v>389</v>
      </c>
      <c r="B19" s="2" t="s">
        <v>402</v>
      </c>
    </row>
    <row r="20" spans="1:2" x14ac:dyDescent="0.4">
      <c r="A20" s="3" t="s">
        <v>231</v>
      </c>
      <c r="B20" s="3" t="s">
        <v>348</v>
      </c>
    </row>
    <row r="21" spans="1:2" x14ac:dyDescent="0.4">
      <c r="A21" s="2" t="s">
        <v>634</v>
      </c>
      <c r="B21" s="2" t="s">
        <v>348</v>
      </c>
    </row>
    <row r="22" spans="1:2" x14ac:dyDescent="0.4">
      <c r="A22" s="3" t="s">
        <v>220</v>
      </c>
      <c r="B22" s="3" t="s">
        <v>402</v>
      </c>
    </row>
    <row r="23" spans="1:2" x14ac:dyDescent="0.4">
      <c r="A23" s="2" t="s">
        <v>635</v>
      </c>
      <c r="B23" s="2" t="s">
        <v>346</v>
      </c>
    </row>
    <row r="24" spans="1:2" x14ac:dyDescent="0.4">
      <c r="A24" s="3" t="s">
        <v>311</v>
      </c>
      <c r="B24" s="3" t="s">
        <v>349</v>
      </c>
    </row>
    <row r="25" spans="1:2" x14ac:dyDescent="0.4">
      <c r="A25" s="2" t="s">
        <v>326</v>
      </c>
      <c r="B25" s="2" t="s">
        <v>402</v>
      </c>
    </row>
    <row r="26" spans="1:2" x14ac:dyDescent="0.4">
      <c r="A26" s="3" t="s">
        <v>227</v>
      </c>
      <c r="B26" s="3" t="s">
        <v>402</v>
      </c>
    </row>
    <row r="27" spans="1:2" x14ac:dyDescent="0.4">
      <c r="A27" s="2" t="s">
        <v>243</v>
      </c>
      <c r="B27" s="2" t="s">
        <v>348</v>
      </c>
    </row>
    <row r="28" spans="1:2" x14ac:dyDescent="0.4">
      <c r="A28" s="3" t="s">
        <v>250</v>
      </c>
      <c r="B28" s="3" t="s">
        <v>347</v>
      </c>
    </row>
    <row r="29" spans="1:2" x14ac:dyDescent="0.4">
      <c r="A29" s="2" t="s">
        <v>636</v>
      </c>
      <c r="B29" s="2" t="s">
        <v>342</v>
      </c>
    </row>
    <row r="30" spans="1:2" x14ac:dyDescent="0.4">
      <c r="A30" s="3" t="s">
        <v>229</v>
      </c>
      <c r="B30" s="3" t="s">
        <v>347</v>
      </c>
    </row>
    <row r="31" spans="1:2" x14ac:dyDescent="0.4">
      <c r="A31" s="2" t="s">
        <v>263</v>
      </c>
      <c r="B31" s="2" t="s">
        <v>405</v>
      </c>
    </row>
    <row r="32" spans="1:2" x14ac:dyDescent="0.4">
      <c r="A32" s="3" t="s">
        <v>236</v>
      </c>
      <c r="B32" s="3" t="s">
        <v>344</v>
      </c>
    </row>
    <row r="33" spans="1:2" x14ac:dyDescent="0.4">
      <c r="A33" s="2" t="s">
        <v>637</v>
      </c>
      <c r="B33" s="2" t="s">
        <v>348</v>
      </c>
    </row>
    <row r="34" spans="1:2" x14ac:dyDescent="0.4">
      <c r="A34" s="3" t="s">
        <v>638</v>
      </c>
      <c r="B34" s="3" t="s">
        <v>409</v>
      </c>
    </row>
    <row r="35" spans="1:2" x14ac:dyDescent="0.4">
      <c r="A35" s="2" t="s">
        <v>639</v>
      </c>
      <c r="B35" s="2" t="s">
        <v>344</v>
      </c>
    </row>
    <row r="36" spans="1:2" x14ac:dyDescent="0.4">
      <c r="A36" s="3" t="s">
        <v>252</v>
      </c>
      <c r="B36" s="3" t="s">
        <v>344</v>
      </c>
    </row>
    <row r="37" spans="1:2" x14ac:dyDescent="0.4">
      <c r="A37" s="2" t="s">
        <v>267</v>
      </c>
      <c r="B37" s="2" t="s">
        <v>348</v>
      </c>
    </row>
    <row r="38" spans="1:2" x14ac:dyDescent="0.4">
      <c r="A38" s="3" t="s">
        <v>242</v>
      </c>
      <c r="B38" s="3" t="s">
        <v>343</v>
      </c>
    </row>
    <row r="39" spans="1:2" x14ac:dyDescent="0.4">
      <c r="A39" s="2" t="s">
        <v>221</v>
      </c>
      <c r="B39" s="2" t="s">
        <v>402</v>
      </c>
    </row>
    <row r="40" spans="1:2" x14ac:dyDescent="0.4">
      <c r="A40" s="3" t="s">
        <v>271</v>
      </c>
      <c r="B40" s="3" t="s">
        <v>406</v>
      </c>
    </row>
    <row r="41" spans="1:2" x14ac:dyDescent="0.4">
      <c r="A41" s="2" t="s">
        <v>237</v>
      </c>
      <c r="B41" s="2" t="s">
        <v>347</v>
      </c>
    </row>
    <row r="42" spans="1:2" x14ac:dyDescent="0.4">
      <c r="A42" s="3" t="s">
        <v>316</v>
      </c>
      <c r="B42" s="3" t="s">
        <v>342</v>
      </c>
    </row>
    <row r="43" spans="1:2" x14ac:dyDescent="0.4">
      <c r="A43" s="2" t="s">
        <v>332</v>
      </c>
      <c r="B43" s="2" t="s">
        <v>402</v>
      </c>
    </row>
    <row r="44" spans="1:2" x14ac:dyDescent="0.4">
      <c r="A44" s="3" t="s">
        <v>288</v>
      </c>
      <c r="B44" s="3" t="s">
        <v>348</v>
      </c>
    </row>
    <row r="45" spans="1:2" x14ac:dyDescent="0.4">
      <c r="A45" s="2" t="s">
        <v>335</v>
      </c>
      <c r="B45" s="2" t="s">
        <v>409</v>
      </c>
    </row>
    <row r="46" spans="1:2" x14ac:dyDescent="0.4">
      <c r="A46" s="3" t="s">
        <v>395</v>
      </c>
      <c r="B46" s="3" t="s">
        <v>402</v>
      </c>
    </row>
    <row r="47" spans="1:2" x14ac:dyDescent="0.4">
      <c r="A47" s="2" t="s">
        <v>393</v>
      </c>
      <c r="B47" s="2" t="s">
        <v>402</v>
      </c>
    </row>
    <row r="48" spans="1:2" x14ac:dyDescent="0.4">
      <c r="A48" s="3" t="s">
        <v>274</v>
      </c>
      <c r="B48" s="3" t="s">
        <v>404</v>
      </c>
    </row>
    <row r="49" spans="1:2" x14ac:dyDescent="0.4">
      <c r="A49" s="2" t="s">
        <v>312</v>
      </c>
      <c r="B49" s="2" t="s">
        <v>405</v>
      </c>
    </row>
    <row r="50" spans="1:2" x14ac:dyDescent="0.4">
      <c r="A50" s="3" t="s">
        <v>331</v>
      </c>
      <c r="B50" s="3" t="s">
        <v>405</v>
      </c>
    </row>
    <row r="51" spans="1:2" x14ac:dyDescent="0.4">
      <c r="A51" s="2" t="s">
        <v>284</v>
      </c>
      <c r="B51" s="2" t="s">
        <v>406</v>
      </c>
    </row>
    <row r="52" spans="1:2" x14ac:dyDescent="0.4">
      <c r="A52" s="3" t="s">
        <v>282</v>
      </c>
      <c r="B52" s="3" t="s">
        <v>344</v>
      </c>
    </row>
    <row r="53" spans="1:2" x14ac:dyDescent="0.4">
      <c r="A53" s="2" t="s">
        <v>295</v>
      </c>
      <c r="B53" s="2" t="s">
        <v>402</v>
      </c>
    </row>
    <row r="54" spans="1:2" x14ac:dyDescent="0.4">
      <c r="A54" s="3" t="s">
        <v>640</v>
      </c>
      <c r="B54" s="3" t="s">
        <v>404</v>
      </c>
    </row>
    <row r="55" spans="1:2" x14ac:dyDescent="0.4">
      <c r="A55" s="2" t="s">
        <v>281</v>
      </c>
      <c r="B55" s="2" t="s">
        <v>409</v>
      </c>
    </row>
    <row r="56" spans="1:2" x14ac:dyDescent="0.4">
      <c r="A56" s="3" t="s">
        <v>388</v>
      </c>
      <c r="B56" s="3" t="s">
        <v>402</v>
      </c>
    </row>
    <row r="57" spans="1:2" x14ac:dyDescent="0.4">
      <c r="A57" s="2" t="s">
        <v>396</v>
      </c>
      <c r="B57" s="2" t="s">
        <v>344</v>
      </c>
    </row>
    <row r="58" spans="1:2" x14ac:dyDescent="0.4">
      <c r="A58" s="3" t="s">
        <v>269</v>
      </c>
      <c r="B58" s="3" t="s">
        <v>343</v>
      </c>
    </row>
    <row r="59" spans="1:2" x14ac:dyDescent="0.4">
      <c r="A59" s="2" t="s">
        <v>249</v>
      </c>
      <c r="B59" s="2" t="s">
        <v>349</v>
      </c>
    </row>
    <row r="60" spans="1:2" x14ac:dyDescent="0.4">
      <c r="A60" s="3" t="s">
        <v>300</v>
      </c>
      <c r="B60" s="3" t="s">
        <v>475</v>
      </c>
    </row>
    <row r="61" spans="1:2" x14ac:dyDescent="0.4">
      <c r="A61" s="2" t="s">
        <v>260</v>
      </c>
      <c r="B61" s="2" t="s">
        <v>410</v>
      </c>
    </row>
    <row r="62" spans="1:2" x14ac:dyDescent="0.4">
      <c r="A62" s="3" t="s">
        <v>302</v>
      </c>
      <c r="B62" s="3" t="s">
        <v>406</v>
      </c>
    </row>
    <row r="63" spans="1:2" x14ac:dyDescent="0.4">
      <c r="A63" s="2" t="s">
        <v>275</v>
      </c>
      <c r="B63" s="2" t="s">
        <v>402</v>
      </c>
    </row>
    <row r="64" spans="1:2" x14ac:dyDescent="0.4">
      <c r="A64" s="3" t="s">
        <v>641</v>
      </c>
      <c r="B64" s="3" t="s">
        <v>409</v>
      </c>
    </row>
    <row r="65" spans="1:2" x14ac:dyDescent="0.4">
      <c r="A65" s="2" t="s">
        <v>276</v>
      </c>
      <c r="B65" s="2" t="s">
        <v>417</v>
      </c>
    </row>
    <row r="66" spans="1:2" x14ac:dyDescent="0.4">
      <c r="A66" s="3" t="s">
        <v>259</v>
      </c>
      <c r="B66" s="3" t="s">
        <v>434</v>
      </c>
    </row>
    <row r="67" spans="1:2" x14ac:dyDescent="0.4">
      <c r="A67" s="2" t="s">
        <v>390</v>
      </c>
      <c r="B67" s="2" t="s">
        <v>402</v>
      </c>
    </row>
    <row r="68" spans="1:2" x14ac:dyDescent="0.4">
      <c r="A68" s="3" t="s">
        <v>642</v>
      </c>
      <c r="B68" s="3" t="s">
        <v>643</v>
      </c>
    </row>
    <row r="69" spans="1:2" x14ac:dyDescent="0.4">
      <c r="A69" s="2" t="s">
        <v>268</v>
      </c>
      <c r="B69" s="2" t="s">
        <v>402</v>
      </c>
    </row>
    <row r="70" spans="1:2" x14ac:dyDescent="0.4">
      <c r="A70" s="3" t="s">
        <v>270</v>
      </c>
      <c r="B70" s="3" t="s">
        <v>402</v>
      </c>
    </row>
    <row r="71" spans="1:2" x14ac:dyDescent="0.4">
      <c r="A71" s="2" t="s">
        <v>309</v>
      </c>
      <c r="B71" s="2" t="s">
        <v>342</v>
      </c>
    </row>
    <row r="72" spans="1:2" x14ac:dyDescent="0.4">
      <c r="A72" s="3" t="s">
        <v>644</v>
      </c>
      <c r="B72" s="3" t="s">
        <v>402</v>
      </c>
    </row>
    <row r="73" spans="1:2" x14ac:dyDescent="0.4">
      <c r="A73" s="2" t="s">
        <v>422</v>
      </c>
      <c r="B73" s="2" t="s">
        <v>350</v>
      </c>
    </row>
    <row r="74" spans="1:2" x14ac:dyDescent="0.4">
      <c r="A74" s="3" t="s">
        <v>645</v>
      </c>
      <c r="B74" s="3" t="s">
        <v>342</v>
      </c>
    </row>
    <row r="75" spans="1:2" x14ac:dyDescent="0.4">
      <c r="A75" s="2" t="s">
        <v>272</v>
      </c>
      <c r="B75" s="2" t="s">
        <v>344</v>
      </c>
    </row>
    <row r="76" spans="1:2" x14ac:dyDescent="0.4">
      <c r="A76" s="3" t="s">
        <v>264</v>
      </c>
      <c r="B76" s="3" t="s">
        <v>415</v>
      </c>
    </row>
    <row r="77" spans="1:2" x14ac:dyDescent="0.4">
      <c r="A77" s="2" t="s">
        <v>285</v>
      </c>
      <c r="B77" s="2" t="s">
        <v>344</v>
      </c>
    </row>
    <row r="78" spans="1:2" x14ac:dyDescent="0.4">
      <c r="A78" s="3" t="s">
        <v>509</v>
      </c>
      <c r="B78" s="3" t="s">
        <v>348</v>
      </c>
    </row>
    <row r="79" spans="1:2" x14ac:dyDescent="0.4">
      <c r="A79" s="2" t="s">
        <v>330</v>
      </c>
      <c r="B79" s="2" t="s">
        <v>350</v>
      </c>
    </row>
    <row r="80" spans="1:2" x14ac:dyDescent="0.4">
      <c r="A80" s="3" t="s">
        <v>278</v>
      </c>
      <c r="B80" s="3" t="s">
        <v>344</v>
      </c>
    </row>
    <row r="81" spans="1:2" x14ac:dyDescent="0.4">
      <c r="A81" s="2" t="s">
        <v>646</v>
      </c>
      <c r="B81" s="2" t="s">
        <v>349</v>
      </c>
    </row>
    <row r="82" spans="1:2" x14ac:dyDescent="0.4">
      <c r="A82" s="3" t="s">
        <v>318</v>
      </c>
      <c r="B82" s="3" t="s">
        <v>402</v>
      </c>
    </row>
    <row r="83" spans="1:2" x14ac:dyDescent="0.4">
      <c r="A83" s="2" t="s">
        <v>470</v>
      </c>
      <c r="B83" s="2" t="s">
        <v>348</v>
      </c>
    </row>
    <row r="84" spans="1:2" x14ac:dyDescent="0.4">
      <c r="A84" s="3" t="s">
        <v>325</v>
      </c>
      <c r="B84" s="3" t="s">
        <v>402</v>
      </c>
    </row>
    <row r="85" spans="1:2" x14ac:dyDescent="0.4">
      <c r="A85" s="2" t="s">
        <v>647</v>
      </c>
      <c r="B85" s="2" t="s">
        <v>418</v>
      </c>
    </row>
    <row r="86" spans="1:2" x14ac:dyDescent="0.4">
      <c r="A86" s="3" t="s">
        <v>648</v>
      </c>
      <c r="B86" s="3" t="s">
        <v>343</v>
      </c>
    </row>
    <row r="87" spans="1:2" x14ac:dyDescent="0.4">
      <c r="A87" s="2" t="s">
        <v>265</v>
      </c>
      <c r="B87" s="2" t="s">
        <v>344</v>
      </c>
    </row>
    <row r="88" spans="1:2" x14ac:dyDescent="0.4">
      <c r="A88" s="3" t="s">
        <v>480</v>
      </c>
      <c r="B88" s="3" t="s">
        <v>344</v>
      </c>
    </row>
    <row r="89" spans="1:2" x14ac:dyDescent="0.4">
      <c r="A89" s="2" t="s">
        <v>303</v>
      </c>
      <c r="B89" s="2" t="s">
        <v>402</v>
      </c>
    </row>
    <row r="90" spans="1:2" x14ac:dyDescent="0.4">
      <c r="A90" s="3" t="s">
        <v>649</v>
      </c>
      <c r="B90" s="3" t="s">
        <v>349</v>
      </c>
    </row>
    <row r="91" spans="1:2" x14ac:dyDescent="0.4">
      <c r="A91" s="2" t="s">
        <v>329</v>
      </c>
      <c r="B91" s="2" t="s">
        <v>402</v>
      </c>
    </row>
    <row r="92" spans="1:2" x14ac:dyDescent="0.4">
      <c r="A92" s="3" t="s">
        <v>321</v>
      </c>
      <c r="B92" s="3" t="s">
        <v>343</v>
      </c>
    </row>
    <row r="93" spans="1:2" x14ac:dyDescent="0.4">
      <c r="A93" s="2" t="s">
        <v>283</v>
      </c>
      <c r="B93" s="2" t="s">
        <v>344</v>
      </c>
    </row>
    <row r="94" spans="1:2" x14ac:dyDescent="0.4">
      <c r="A94" s="3" t="s">
        <v>367</v>
      </c>
      <c r="B94" s="3" t="s">
        <v>350</v>
      </c>
    </row>
    <row r="95" spans="1:2" x14ac:dyDescent="0.4">
      <c r="A95" s="2" t="s">
        <v>245</v>
      </c>
      <c r="B95" s="2" t="s">
        <v>344</v>
      </c>
    </row>
    <row r="96" spans="1:2" x14ac:dyDescent="0.4">
      <c r="A96" s="3" t="s">
        <v>494</v>
      </c>
      <c r="B96" s="3" t="s">
        <v>347</v>
      </c>
    </row>
    <row r="97" spans="1:2" x14ac:dyDescent="0.4">
      <c r="A97" s="2" t="s">
        <v>555</v>
      </c>
      <c r="B97" s="2" t="s">
        <v>348</v>
      </c>
    </row>
    <row r="98" spans="1:2" x14ac:dyDescent="0.4">
      <c r="A98" s="3" t="s">
        <v>650</v>
      </c>
      <c r="B98" s="3" t="s">
        <v>344</v>
      </c>
    </row>
    <row r="99" spans="1:2" x14ac:dyDescent="0.4">
      <c r="A99" s="2" t="s">
        <v>651</v>
      </c>
      <c r="B99" s="2" t="s">
        <v>349</v>
      </c>
    </row>
    <row r="100" spans="1:2" x14ac:dyDescent="0.4">
      <c r="A100" s="3" t="s">
        <v>277</v>
      </c>
      <c r="B100" s="3" t="s">
        <v>345</v>
      </c>
    </row>
    <row r="101" spans="1:2" x14ac:dyDescent="0.4">
      <c r="A101" s="2" t="s">
        <v>359</v>
      </c>
      <c r="B101" s="2" t="s">
        <v>346</v>
      </c>
    </row>
    <row r="102" spans="1:2" x14ac:dyDescent="0.4">
      <c r="A102" s="3" t="s">
        <v>292</v>
      </c>
      <c r="B102" s="3" t="s">
        <v>351</v>
      </c>
    </row>
    <row r="103" spans="1:2" x14ac:dyDescent="0.4">
      <c r="A103" s="2" t="s">
        <v>319</v>
      </c>
      <c r="B103" s="2" t="s">
        <v>406</v>
      </c>
    </row>
    <row r="104" spans="1:2" x14ac:dyDescent="0.4">
      <c r="A104" s="3" t="s">
        <v>327</v>
      </c>
      <c r="B104" s="3" t="s">
        <v>405</v>
      </c>
    </row>
    <row r="105" spans="1:2" x14ac:dyDescent="0.4">
      <c r="A105" s="2" t="s">
        <v>419</v>
      </c>
      <c r="B105" s="2" t="s">
        <v>404</v>
      </c>
    </row>
    <row r="106" spans="1:2" x14ac:dyDescent="0.4">
      <c r="A106" s="3" t="s">
        <v>322</v>
      </c>
      <c r="B106" s="3" t="s">
        <v>421</v>
      </c>
    </row>
    <row r="107" spans="1:2" x14ac:dyDescent="0.4">
      <c r="A107" s="2" t="s">
        <v>652</v>
      </c>
      <c r="B107" s="2" t="s">
        <v>349</v>
      </c>
    </row>
    <row r="108" spans="1:2" x14ac:dyDescent="0.4">
      <c r="A108" s="3" t="s">
        <v>653</v>
      </c>
      <c r="B108" s="3" t="s">
        <v>351</v>
      </c>
    </row>
    <row r="109" spans="1:2" x14ac:dyDescent="0.4">
      <c r="A109" s="2" t="s">
        <v>279</v>
      </c>
      <c r="B109" s="2" t="s">
        <v>413</v>
      </c>
    </row>
    <row r="110" spans="1:2" x14ac:dyDescent="0.4">
      <c r="A110" s="3" t="s">
        <v>317</v>
      </c>
      <c r="B110" s="3" t="s">
        <v>343</v>
      </c>
    </row>
    <row r="111" spans="1:2" x14ac:dyDescent="0.4">
      <c r="A111" s="2" t="s">
        <v>654</v>
      </c>
      <c r="B111" s="2" t="s">
        <v>344</v>
      </c>
    </row>
    <row r="112" spans="1:2" x14ac:dyDescent="0.4">
      <c r="A112" s="3" t="s">
        <v>341</v>
      </c>
      <c r="B112" s="3" t="s">
        <v>402</v>
      </c>
    </row>
    <row r="113" spans="1:2" x14ac:dyDescent="0.4">
      <c r="A113" s="2" t="s">
        <v>607</v>
      </c>
      <c r="B113" s="2" t="s">
        <v>608</v>
      </c>
    </row>
    <row r="114" spans="1:2" x14ac:dyDescent="0.4">
      <c r="A114" s="3" t="s">
        <v>258</v>
      </c>
      <c r="B114" s="3" t="s">
        <v>344</v>
      </c>
    </row>
    <row r="115" spans="1:2" x14ac:dyDescent="0.4">
      <c r="A115" s="2" t="s">
        <v>655</v>
      </c>
      <c r="B115" s="2" t="s">
        <v>443</v>
      </c>
    </row>
    <row r="116" spans="1:2" x14ac:dyDescent="0.4">
      <c r="A116" s="3" t="s">
        <v>503</v>
      </c>
      <c r="B116" s="3" t="s">
        <v>402</v>
      </c>
    </row>
    <row r="117" spans="1:2" x14ac:dyDescent="0.4">
      <c r="A117" s="2" t="s">
        <v>656</v>
      </c>
      <c r="B117" s="2" t="s">
        <v>407</v>
      </c>
    </row>
    <row r="118" spans="1:2" x14ac:dyDescent="0.4">
      <c r="A118" s="3" t="s">
        <v>442</v>
      </c>
      <c r="B118" s="3" t="s">
        <v>443</v>
      </c>
    </row>
    <row r="119" spans="1:2" x14ac:dyDescent="0.4">
      <c r="A119" s="2" t="s">
        <v>290</v>
      </c>
      <c r="B119" s="2" t="s">
        <v>415</v>
      </c>
    </row>
    <row r="120" spans="1:2" x14ac:dyDescent="0.4">
      <c r="A120" s="3" t="s">
        <v>254</v>
      </c>
      <c r="B120" s="3" t="s">
        <v>404</v>
      </c>
    </row>
    <row r="121" spans="1:2" x14ac:dyDescent="0.4">
      <c r="A121" s="2" t="s">
        <v>340</v>
      </c>
      <c r="B121" s="2" t="s">
        <v>402</v>
      </c>
    </row>
    <row r="122" spans="1:2" x14ac:dyDescent="0.4">
      <c r="A122" s="3" t="s">
        <v>364</v>
      </c>
      <c r="B122" s="3" t="s">
        <v>414</v>
      </c>
    </row>
    <row r="123" spans="1:2" x14ac:dyDescent="0.4">
      <c r="A123" s="2" t="s">
        <v>334</v>
      </c>
      <c r="B123" s="2" t="s">
        <v>347</v>
      </c>
    </row>
    <row r="124" spans="1:2" x14ac:dyDescent="0.4">
      <c r="A124" s="3" t="s">
        <v>320</v>
      </c>
      <c r="B124" s="3" t="s">
        <v>402</v>
      </c>
    </row>
    <row r="125" spans="1:2" x14ac:dyDescent="0.4">
      <c r="A125" s="2" t="s">
        <v>657</v>
      </c>
      <c r="B125" s="2" t="s">
        <v>416</v>
      </c>
    </row>
    <row r="126" spans="1:2" x14ac:dyDescent="0.4">
      <c r="A126" s="3" t="s">
        <v>280</v>
      </c>
      <c r="B126" s="3" t="s">
        <v>348</v>
      </c>
    </row>
    <row r="127" spans="1:2" x14ac:dyDescent="0.4">
      <c r="A127" s="2" t="s">
        <v>658</v>
      </c>
      <c r="B127" s="2" t="s">
        <v>406</v>
      </c>
    </row>
    <row r="128" spans="1:2" x14ac:dyDescent="0.4">
      <c r="A128" s="3" t="s">
        <v>536</v>
      </c>
      <c r="B128" s="3" t="s">
        <v>475</v>
      </c>
    </row>
    <row r="129" spans="1:2" x14ac:dyDescent="0.4">
      <c r="A129" s="2" t="s">
        <v>255</v>
      </c>
      <c r="B129" s="2" t="s">
        <v>345</v>
      </c>
    </row>
    <row r="130" spans="1:2" x14ac:dyDescent="0.4">
      <c r="A130" s="3" t="s">
        <v>659</v>
      </c>
      <c r="B130" s="3" t="s">
        <v>416</v>
      </c>
    </row>
    <row r="131" spans="1:2" x14ac:dyDescent="0.4">
      <c r="A131" s="2" t="s">
        <v>238</v>
      </c>
      <c r="B131" s="2" t="s">
        <v>349</v>
      </c>
    </row>
    <row r="132" spans="1:2" x14ac:dyDescent="0.4">
      <c r="A132" s="3" t="s">
        <v>362</v>
      </c>
      <c r="B132" s="3" t="s">
        <v>351</v>
      </c>
    </row>
    <row r="133" spans="1:2" x14ac:dyDescent="0.4">
      <c r="A133" s="2" t="s">
        <v>449</v>
      </c>
      <c r="B133" s="2" t="s">
        <v>344</v>
      </c>
    </row>
    <row r="134" spans="1:2" x14ac:dyDescent="0.4">
      <c r="A134" s="3" t="s">
        <v>315</v>
      </c>
      <c r="B134" s="3" t="s">
        <v>405</v>
      </c>
    </row>
    <row r="135" spans="1:2" x14ac:dyDescent="0.4">
      <c r="A135" s="2" t="s">
        <v>660</v>
      </c>
      <c r="B135" s="2" t="s">
        <v>475</v>
      </c>
    </row>
    <row r="136" spans="1:2" x14ac:dyDescent="0.4">
      <c r="A136" s="3" t="s">
        <v>577</v>
      </c>
      <c r="B136" s="3" t="s">
        <v>475</v>
      </c>
    </row>
    <row r="137" spans="1:2" x14ac:dyDescent="0.4">
      <c r="A137" s="2" t="s">
        <v>387</v>
      </c>
      <c r="B137" s="2" t="s">
        <v>411</v>
      </c>
    </row>
    <row r="138" spans="1:2" x14ac:dyDescent="0.4">
      <c r="A138" s="3" t="s">
        <v>459</v>
      </c>
      <c r="B138" s="3" t="s">
        <v>344</v>
      </c>
    </row>
    <row r="139" spans="1:2" x14ac:dyDescent="0.4">
      <c r="A139" s="2" t="s">
        <v>661</v>
      </c>
      <c r="B139" s="2" t="s">
        <v>345</v>
      </c>
    </row>
    <row r="140" spans="1:2" x14ac:dyDescent="0.4">
      <c r="A140" s="3" t="s">
        <v>662</v>
      </c>
      <c r="B140" s="3" t="s">
        <v>348</v>
      </c>
    </row>
    <row r="141" spans="1:2" x14ac:dyDescent="0.4">
      <c r="A141" s="2" t="s">
        <v>663</v>
      </c>
      <c r="B141" s="2" t="s">
        <v>404</v>
      </c>
    </row>
    <row r="142" spans="1:2" x14ac:dyDescent="0.4">
      <c r="A142" s="3" t="s">
        <v>446</v>
      </c>
      <c r="B142" s="3" t="s">
        <v>404</v>
      </c>
    </row>
    <row r="143" spans="1:2" x14ac:dyDescent="0.4">
      <c r="A143" s="2" t="s">
        <v>664</v>
      </c>
      <c r="B143" s="2" t="s">
        <v>402</v>
      </c>
    </row>
    <row r="144" spans="1:2" x14ac:dyDescent="0.4">
      <c r="A144" s="3" t="s">
        <v>665</v>
      </c>
      <c r="B144" s="3" t="s">
        <v>643</v>
      </c>
    </row>
    <row r="145" spans="1:2" x14ac:dyDescent="0.4">
      <c r="A145" s="2" t="s">
        <v>426</v>
      </c>
      <c r="B145" s="2" t="s">
        <v>402</v>
      </c>
    </row>
    <row r="146" spans="1:2" x14ac:dyDescent="0.4">
      <c r="A146" s="3" t="s">
        <v>666</v>
      </c>
      <c r="B146" s="3" t="s">
        <v>349</v>
      </c>
    </row>
    <row r="147" spans="1:2" x14ac:dyDescent="0.4">
      <c r="A147" s="2" t="s">
        <v>291</v>
      </c>
      <c r="B147" s="2" t="s">
        <v>402</v>
      </c>
    </row>
    <row r="148" spans="1:2" x14ac:dyDescent="0.4">
      <c r="A148" s="3" t="s">
        <v>431</v>
      </c>
      <c r="B148" s="3" t="s">
        <v>350</v>
      </c>
    </row>
    <row r="149" spans="1:2" x14ac:dyDescent="0.4">
      <c r="A149" s="2" t="s">
        <v>462</v>
      </c>
      <c r="B149" s="2" t="s">
        <v>404</v>
      </c>
    </row>
    <row r="150" spans="1:2" x14ac:dyDescent="0.4">
      <c r="A150" s="3" t="s">
        <v>667</v>
      </c>
      <c r="B150" s="3" t="s">
        <v>344</v>
      </c>
    </row>
    <row r="151" spans="1:2" x14ac:dyDescent="0.4">
      <c r="A151" s="2" t="s">
        <v>500</v>
      </c>
      <c r="B151" s="2" t="s">
        <v>501</v>
      </c>
    </row>
    <row r="152" spans="1:2" x14ac:dyDescent="0.4">
      <c r="A152" s="3" t="s">
        <v>570</v>
      </c>
      <c r="B152" s="3" t="s">
        <v>347</v>
      </c>
    </row>
    <row r="153" spans="1:2" x14ac:dyDescent="0.4">
      <c r="A153" s="2" t="s">
        <v>266</v>
      </c>
      <c r="B153" s="2" t="s">
        <v>408</v>
      </c>
    </row>
    <row r="154" spans="1:2" x14ac:dyDescent="0.4">
      <c r="A154" s="3" t="s">
        <v>668</v>
      </c>
      <c r="B154" s="3" t="s">
        <v>475</v>
      </c>
    </row>
    <row r="155" spans="1:2" x14ac:dyDescent="0.4">
      <c r="A155" s="2" t="s">
        <v>597</v>
      </c>
      <c r="B155" s="2" t="s">
        <v>404</v>
      </c>
    </row>
    <row r="156" spans="1:2" x14ac:dyDescent="0.4">
      <c r="A156" s="3" t="s">
        <v>286</v>
      </c>
      <c r="B156" s="3" t="s">
        <v>344</v>
      </c>
    </row>
    <row r="157" spans="1:2" x14ac:dyDescent="0.4">
      <c r="A157" s="2" t="s">
        <v>336</v>
      </c>
      <c r="B157" s="2" t="s">
        <v>346</v>
      </c>
    </row>
    <row r="158" spans="1:2" x14ac:dyDescent="0.4">
      <c r="A158" s="3" t="s">
        <v>294</v>
      </c>
      <c r="B158" s="3" t="s">
        <v>344</v>
      </c>
    </row>
    <row r="159" spans="1:2" x14ac:dyDescent="0.4">
      <c r="A159" s="2" t="s">
        <v>604</v>
      </c>
      <c r="B159" s="2" t="s">
        <v>346</v>
      </c>
    </row>
    <row r="160" spans="1:2" x14ac:dyDescent="0.4">
      <c r="A160" s="3" t="s">
        <v>504</v>
      </c>
      <c r="B160" s="3" t="s">
        <v>406</v>
      </c>
    </row>
    <row r="161" spans="1:2" x14ac:dyDescent="0.4">
      <c r="A161" s="2" t="s">
        <v>669</v>
      </c>
      <c r="B161" s="2" t="s">
        <v>425</v>
      </c>
    </row>
    <row r="162" spans="1:2" x14ac:dyDescent="0.4">
      <c r="A162" s="3" t="s">
        <v>339</v>
      </c>
      <c r="B162" s="3" t="s">
        <v>402</v>
      </c>
    </row>
    <row r="163" spans="1:2" x14ac:dyDescent="0.4">
      <c r="A163" s="2" t="s">
        <v>444</v>
      </c>
      <c r="B163" s="2" t="s">
        <v>410</v>
      </c>
    </row>
    <row r="164" spans="1:2" x14ac:dyDescent="0.4">
      <c r="A164" s="3" t="s">
        <v>670</v>
      </c>
      <c r="B164" s="3" t="s">
        <v>643</v>
      </c>
    </row>
    <row r="165" spans="1:2" x14ac:dyDescent="0.4">
      <c r="A165" s="2" t="s">
        <v>324</v>
      </c>
      <c r="B165" s="2" t="s">
        <v>343</v>
      </c>
    </row>
    <row r="166" spans="1:2" x14ac:dyDescent="0.4">
      <c r="A166" s="3" t="s">
        <v>671</v>
      </c>
      <c r="B166" s="3" t="s">
        <v>350</v>
      </c>
    </row>
    <row r="167" spans="1:2" x14ac:dyDescent="0.4">
      <c r="A167" s="2" t="s">
        <v>553</v>
      </c>
      <c r="B167" s="2" t="s">
        <v>545</v>
      </c>
    </row>
    <row r="168" spans="1:2" x14ac:dyDescent="0.4">
      <c r="A168" s="3" t="s">
        <v>373</v>
      </c>
      <c r="B168" s="3" t="s">
        <v>402</v>
      </c>
    </row>
    <row r="169" spans="1:2" x14ac:dyDescent="0.4">
      <c r="A169" s="2" t="s">
        <v>672</v>
      </c>
      <c r="B169" s="2" t="s">
        <v>347</v>
      </c>
    </row>
    <row r="170" spans="1:2" x14ac:dyDescent="0.4">
      <c r="A170" s="3" t="s">
        <v>262</v>
      </c>
      <c r="B170" s="3" t="s">
        <v>344</v>
      </c>
    </row>
    <row r="171" spans="1:2" x14ac:dyDescent="0.4">
      <c r="A171" s="2" t="s">
        <v>620</v>
      </c>
      <c r="B171" s="2" t="s">
        <v>343</v>
      </c>
    </row>
    <row r="172" spans="1:2" x14ac:dyDescent="0.4">
      <c r="A172" s="3" t="s">
        <v>585</v>
      </c>
      <c r="B172" s="3" t="s">
        <v>343</v>
      </c>
    </row>
    <row r="173" spans="1:2" x14ac:dyDescent="0.4">
      <c r="A173" s="2" t="s">
        <v>673</v>
      </c>
      <c r="B173" s="2" t="s">
        <v>425</v>
      </c>
    </row>
    <row r="174" spans="1:2" x14ac:dyDescent="0.4">
      <c r="A174" s="3" t="s">
        <v>450</v>
      </c>
      <c r="B174" s="3" t="s">
        <v>402</v>
      </c>
    </row>
    <row r="175" spans="1:2" x14ac:dyDescent="0.4">
      <c r="A175" s="2" t="s">
        <v>540</v>
      </c>
      <c r="B175" s="2" t="s">
        <v>347</v>
      </c>
    </row>
    <row r="176" spans="1:2" x14ac:dyDescent="0.4">
      <c r="A176" s="3" t="s">
        <v>287</v>
      </c>
      <c r="B176" s="3" t="s">
        <v>407</v>
      </c>
    </row>
    <row r="177" spans="1:2" x14ac:dyDescent="0.4">
      <c r="A177" s="2" t="s">
        <v>674</v>
      </c>
      <c r="B177" s="2" t="s">
        <v>417</v>
      </c>
    </row>
    <row r="178" spans="1:2" x14ac:dyDescent="0.4">
      <c r="A178" s="3" t="s">
        <v>675</v>
      </c>
      <c r="B178" s="3" t="s">
        <v>380</v>
      </c>
    </row>
    <row r="179" spans="1:2" x14ac:dyDescent="0.4">
      <c r="A179" s="2" t="s">
        <v>298</v>
      </c>
      <c r="B179" s="2" t="s">
        <v>405</v>
      </c>
    </row>
    <row r="180" spans="1:2" x14ac:dyDescent="0.4">
      <c r="A180" s="3" t="s">
        <v>310</v>
      </c>
      <c r="B180" s="3" t="s">
        <v>402</v>
      </c>
    </row>
    <row r="181" spans="1:2" x14ac:dyDescent="0.4">
      <c r="A181" s="2" t="s">
        <v>676</v>
      </c>
      <c r="B181" s="2" t="s">
        <v>416</v>
      </c>
    </row>
    <row r="182" spans="1:2" x14ac:dyDescent="0.4">
      <c r="A182" s="3" t="s">
        <v>473</v>
      </c>
      <c r="B182" s="3" t="s">
        <v>344</v>
      </c>
    </row>
    <row r="183" spans="1:2" x14ac:dyDescent="0.4">
      <c r="A183" s="2" t="s">
        <v>493</v>
      </c>
      <c r="B183" s="2" t="s">
        <v>402</v>
      </c>
    </row>
    <row r="184" spans="1:2" x14ac:dyDescent="0.4">
      <c r="A184" s="3" t="s">
        <v>625</v>
      </c>
      <c r="B184" s="3" t="s">
        <v>348</v>
      </c>
    </row>
    <row r="185" spans="1:2" x14ac:dyDescent="0.4">
      <c r="A185" s="2" t="s">
        <v>507</v>
      </c>
      <c r="B185" s="2" t="s">
        <v>346</v>
      </c>
    </row>
    <row r="186" spans="1:2" x14ac:dyDescent="0.4">
      <c r="A186" s="3" t="s">
        <v>623</v>
      </c>
      <c r="B186" s="3" t="s">
        <v>348</v>
      </c>
    </row>
    <row r="187" spans="1:2" x14ac:dyDescent="0.4">
      <c r="A187" s="2" t="s">
        <v>586</v>
      </c>
      <c r="B187" s="2" t="s">
        <v>405</v>
      </c>
    </row>
    <row r="188" spans="1:2" x14ac:dyDescent="0.4">
      <c r="A188" s="3" t="s">
        <v>677</v>
      </c>
      <c r="B188" s="3" t="s">
        <v>411</v>
      </c>
    </row>
    <row r="189" spans="1:2" x14ac:dyDescent="0.4">
      <c r="A189" s="2" t="s">
        <v>678</v>
      </c>
      <c r="B189" s="2" t="s">
        <v>425</v>
      </c>
    </row>
    <row r="190" spans="1:2" x14ac:dyDescent="0.4">
      <c r="A190" s="3" t="s">
        <v>679</v>
      </c>
      <c r="B190" s="3" t="s">
        <v>455</v>
      </c>
    </row>
    <row r="191" spans="1:2" x14ac:dyDescent="0.4">
      <c r="A191" s="2" t="s">
        <v>400</v>
      </c>
      <c r="B191" s="2" t="s">
        <v>402</v>
      </c>
    </row>
    <row r="192" spans="1:2" x14ac:dyDescent="0.4">
      <c r="A192" s="3" t="s">
        <v>680</v>
      </c>
      <c r="B192" s="3" t="s">
        <v>347</v>
      </c>
    </row>
    <row r="193" spans="1:2" x14ac:dyDescent="0.4">
      <c r="A193" s="2" t="s">
        <v>681</v>
      </c>
      <c r="B193" s="2" t="s">
        <v>410</v>
      </c>
    </row>
    <row r="194" spans="1:2" x14ac:dyDescent="0.4">
      <c r="A194" s="3" t="s">
        <v>333</v>
      </c>
      <c r="B194" s="3" t="s">
        <v>349</v>
      </c>
    </row>
    <row r="195" spans="1:2" x14ac:dyDescent="0.4">
      <c r="A195" s="2" t="s">
        <v>516</v>
      </c>
      <c r="B195" s="2" t="s">
        <v>344</v>
      </c>
    </row>
    <row r="196" spans="1:2" x14ac:dyDescent="0.4">
      <c r="A196" s="3" t="s">
        <v>436</v>
      </c>
      <c r="B196" s="3" t="s">
        <v>404</v>
      </c>
    </row>
    <row r="197" spans="1:2" x14ac:dyDescent="0.4">
      <c r="A197" s="2" t="s">
        <v>273</v>
      </c>
      <c r="B197" s="2" t="s">
        <v>343</v>
      </c>
    </row>
    <row r="198" spans="1:2" x14ac:dyDescent="0.4">
      <c r="A198" s="3" t="s">
        <v>537</v>
      </c>
      <c r="B198" s="3" t="s">
        <v>434</v>
      </c>
    </row>
    <row r="199" spans="1:2" x14ac:dyDescent="0.4">
      <c r="A199" s="2" t="s">
        <v>682</v>
      </c>
      <c r="B199" s="2" t="s">
        <v>408</v>
      </c>
    </row>
    <row r="200" spans="1:2" x14ac:dyDescent="0.4">
      <c r="A200" s="3" t="s">
        <v>683</v>
      </c>
      <c r="B200" s="3" t="s">
        <v>417</v>
      </c>
    </row>
    <row r="201" spans="1:2" x14ac:dyDescent="0.4">
      <c r="A201" s="2" t="s">
        <v>437</v>
      </c>
      <c r="B201" s="2" t="s">
        <v>344</v>
      </c>
    </row>
    <row r="202" spans="1:2" x14ac:dyDescent="0.4">
      <c r="A202" s="3" t="s">
        <v>684</v>
      </c>
      <c r="B202" s="3" t="s">
        <v>349</v>
      </c>
    </row>
    <row r="203" spans="1:2" x14ac:dyDescent="0.4">
      <c r="A203" s="2" t="s">
        <v>423</v>
      </c>
      <c r="B203" s="2" t="s">
        <v>350</v>
      </c>
    </row>
    <row r="204" spans="1:2" x14ac:dyDescent="0.4">
      <c r="A204" s="3" t="s">
        <v>685</v>
      </c>
      <c r="B204" s="3" t="s">
        <v>417</v>
      </c>
    </row>
    <row r="205" spans="1:2" x14ac:dyDescent="0.4">
      <c r="A205" s="2" t="s">
        <v>686</v>
      </c>
      <c r="B205" s="2" t="s">
        <v>404</v>
      </c>
    </row>
    <row r="206" spans="1:2" x14ac:dyDescent="0.4">
      <c r="A206" s="3" t="s">
        <v>687</v>
      </c>
      <c r="B206" s="3" t="s">
        <v>342</v>
      </c>
    </row>
    <row r="207" spans="1:2" x14ac:dyDescent="0.4">
      <c r="A207" s="2" t="s">
        <v>328</v>
      </c>
      <c r="B207" s="2" t="s">
        <v>425</v>
      </c>
    </row>
    <row r="208" spans="1:2" x14ac:dyDescent="0.4">
      <c r="A208" s="3" t="s">
        <v>591</v>
      </c>
      <c r="B208" s="3" t="s">
        <v>348</v>
      </c>
    </row>
    <row r="209" spans="1:2" x14ac:dyDescent="0.4">
      <c r="A209" s="2" t="s">
        <v>619</v>
      </c>
      <c r="B209" s="2" t="s">
        <v>349</v>
      </c>
    </row>
    <row r="210" spans="1:2" x14ac:dyDescent="0.4">
      <c r="A210" s="3" t="s">
        <v>314</v>
      </c>
      <c r="B210" s="3" t="s">
        <v>402</v>
      </c>
    </row>
    <row r="211" spans="1:2" x14ac:dyDescent="0.4">
      <c r="A211" s="2" t="s">
        <v>482</v>
      </c>
      <c r="B211" s="2" t="s">
        <v>402</v>
      </c>
    </row>
    <row r="212" spans="1:2" x14ac:dyDescent="0.4">
      <c r="A212" s="3" t="s">
        <v>599</v>
      </c>
      <c r="B212" s="3" t="s">
        <v>347</v>
      </c>
    </row>
    <row r="213" spans="1:2" x14ac:dyDescent="0.4">
      <c r="A213" s="2" t="s">
        <v>1870</v>
      </c>
      <c r="B213" s="2" t="s">
        <v>412</v>
      </c>
    </row>
    <row r="214" spans="1:2" x14ac:dyDescent="0.4">
      <c r="A214" s="3" t="s">
        <v>514</v>
      </c>
      <c r="B214" s="3" t="s">
        <v>402</v>
      </c>
    </row>
    <row r="215" spans="1:2" x14ac:dyDescent="0.4">
      <c r="A215" s="2" t="s">
        <v>474</v>
      </c>
      <c r="B215" s="2" t="s">
        <v>346</v>
      </c>
    </row>
    <row r="216" spans="1:2" x14ac:dyDescent="0.4">
      <c r="A216" s="3" t="s">
        <v>297</v>
      </c>
      <c r="B216" s="3" t="s">
        <v>349</v>
      </c>
    </row>
    <row r="217" spans="1:2" x14ac:dyDescent="0.4">
      <c r="A217" s="2" t="s">
        <v>688</v>
      </c>
      <c r="B217" s="2" t="s">
        <v>416</v>
      </c>
    </row>
    <row r="218" spans="1:2" x14ac:dyDescent="0.4">
      <c r="A218" s="3" t="s">
        <v>428</v>
      </c>
      <c r="B218" s="3" t="s">
        <v>343</v>
      </c>
    </row>
    <row r="219" spans="1:2" x14ac:dyDescent="0.4">
      <c r="A219" s="2" t="s">
        <v>689</v>
      </c>
      <c r="B219" s="2" t="s">
        <v>349</v>
      </c>
    </row>
    <row r="220" spans="1:2" x14ac:dyDescent="0.4">
      <c r="A220" s="3" t="s">
        <v>338</v>
      </c>
      <c r="B220" s="3" t="s">
        <v>416</v>
      </c>
    </row>
    <row r="221" spans="1:2" x14ac:dyDescent="0.4">
      <c r="A221" s="2" t="s">
        <v>378</v>
      </c>
      <c r="B221" s="2" t="s">
        <v>347</v>
      </c>
    </row>
    <row r="222" spans="1:2" x14ac:dyDescent="0.4">
      <c r="A222" s="3" t="s">
        <v>476</v>
      </c>
      <c r="B222" s="3" t="s">
        <v>472</v>
      </c>
    </row>
    <row r="223" spans="1:2" x14ac:dyDescent="0.4">
      <c r="A223" s="2" t="s">
        <v>690</v>
      </c>
      <c r="B223" s="2" t="s">
        <v>416</v>
      </c>
    </row>
    <row r="224" spans="1:2" x14ac:dyDescent="0.4">
      <c r="A224" s="3" t="s">
        <v>528</v>
      </c>
      <c r="B224" s="3" t="s">
        <v>460</v>
      </c>
    </row>
    <row r="225" spans="1:2" x14ac:dyDescent="0.4">
      <c r="A225" s="2" t="s">
        <v>691</v>
      </c>
      <c r="B225" s="2" t="s">
        <v>455</v>
      </c>
    </row>
    <row r="226" spans="1:2" x14ac:dyDescent="0.4">
      <c r="A226" s="3" t="s">
        <v>513</v>
      </c>
      <c r="B226" s="3" t="s">
        <v>344</v>
      </c>
    </row>
    <row r="227" spans="1:2" x14ac:dyDescent="0.4">
      <c r="A227" s="2" t="s">
        <v>692</v>
      </c>
      <c r="B227" s="2" t="s">
        <v>348</v>
      </c>
    </row>
    <row r="228" spans="1:2" x14ac:dyDescent="0.4">
      <c r="A228" s="3" t="s">
        <v>693</v>
      </c>
      <c r="B228" s="3" t="s">
        <v>348</v>
      </c>
    </row>
    <row r="229" spans="1:2" x14ac:dyDescent="0.4">
      <c r="A229" s="2" t="s">
        <v>694</v>
      </c>
      <c r="B229" s="2" t="s">
        <v>410</v>
      </c>
    </row>
    <row r="230" spans="1:2" x14ac:dyDescent="0.4">
      <c r="A230" s="3" t="s">
        <v>583</v>
      </c>
      <c r="B230" s="3" t="s">
        <v>380</v>
      </c>
    </row>
    <row r="231" spans="1:2" x14ac:dyDescent="0.4">
      <c r="A231" s="2" t="s">
        <v>695</v>
      </c>
      <c r="B231" s="2" t="s">
        <v>434</v>
      </c>
    </row>
    <row r="232" spans="1:2" x14ac:dyDescent="0.4">
      <c r="A232" s="3" t="s">
        <v>573</v>
      </c>
      <c r="B232" s="3" t="s">
        <v>548</v>
      </c>
    </row>
    <row r="233" spans="1:2" x14ac:dyDescent="0.4">
      <c r="A233" s="2" t="s">
        <v>696</v>
      </c>
      <c r="B233" s="2" t="s">
        <v>349</v>
      </c>
    </row>
    <row r="234" spans="1:2" x14ac:dyDescent="0.4">
      <c r="A234" s="3" t="s">
        <v>533</v>
      </c>
      <c r="B234" s="3" t="s">
        <v>348</v>
      </c>
    </row>
    <row r="235" spans="1:2" x14ac:dyDescent="0.4">
      <c r="A235" s="2" t="s">
        <v>515</v>
      </c>
      <c r="B235" s="2" t="s">
        <v>413</v>
      </c>
    </row>
    <row r="236" spans="1:2" x14ac:dyDescent="0.4">
      <c r="A236" s="3" t="s">
        <v>697</v>
      </c>
      <c r="B236" s="3" t="s">
        <v>345</v>
      </c>
    </row>
    <row r="237" spans="1:2" x14ac:dyDescent="0.4">
      <c r="A237" s="2" t="s">
        <v>456</v>
      </c>
      <c r="B237" s="2" t="s">
        <v>402</v>
      </c>
    </row>
    <row r="238" spans="1:2" x14ac:dyDescent="0.4">
      <c r="A238" s="3" t="s">
        <v>463</v>
      </c>
      <c r="B238" s="3" t="s">
        <v>464</v>
      </c>
    </row>
    <row r="239" spans="1:2" x14ac:dyDescent="0.4">
      <c r="A239" s="2" t="s">
        <v>698</v>
      </c>
      <c r="B239" s="2" t="s">
        <v>548</v>
      </c>
    </row>
    <row r="240" spans="1:2" x14ac:dyDescent="0.4">
      <c r="A240" s="3" t="s">
        <v>438</v>
      </c>
      <c r="B240" s="3" t="s">
        <v>404</v>
      </c>
    </row>
    <row r="241" spans="1:2" x14ac:dyDescent="0.4">
      <c r="A241" s="2" t="s">
        <v>699</v>
      </c>
      <c r="B241" s="2" t="s">
        <v>460</v>
      </c>
    </row>
    <row r="242" spans="1:2" x14ac:dyDescent="0.4">
      <c r="A242" s="3" t="s">
        <v>433</v>
      </c>
      <c r="B242" s="3" t="s">
        <v>434</v>
      </c>
    </row>
    <row r="243" spans="1:2" x14ac:dyDescent="0.4">
      <c r="A243" s="2" t="s">
        <v>700</v>
      </c>
      <c r="B243" s="2" t="s">
        <v>345</v>
      </c>
    </row>
    <row r="244" spans="1:2" x14ac:dyDescent="0.4">
      <c r="A244" s="3" t="s">
        <v>701</v>
      </c>
      <c r="B244" s="3" t="s">
        <v>349</v>
      </c>
    </row>
    <row r="245" spans="1:2" x14ac:dyDescent="0.4">
      <c r="A245" s="2" t="s">
        <v>702</v>
      </c>
      <c r="B245" s="2" t="s">
        <v>608</v>
      </c>
    </row>
    <row r="246" spans="1:2" x14ac:dyDescent="0.4">
      <c r="A246" s="3" t="s">
        <v>530</v>
      </c>
      <c r="B246" s="3" t="s">
        <v>409</v>
      </c>
    </row>
    <row r="247" spans="1:2" x14ac:dyDescent="0.4">
      <c r="A247" s="2" t="s">
        <v>522</v>
      </c>
      <c r="B247" s="2" t="s">
        <v>415</v>
      </c>
    </row>
    <row r="248" spans="1:2" x14ac:dyDescent="0.4">
      <c r="A248" s="3" t="s">
        <v>435</v>
      </c>
      <c r="B248" s="3" t="s">
        <v>405</v>
      </c>
    </row>
    <row r="249" spans="1:2" x14ac:dyDescent="0.4">
      <c r="A249" s="2" t="s">
        <v>430</v>
      </c>
      <c r="B249" s="2" t="s">
        <v>402</v>
      </c>
    </row>
    <row r="250" spans="1:2" x14ac:dyDescent="0.4">
      <c r="A250" s="3" t="s">
        <v>703</v>
      </c>
      <c r="B250" s="3" t="s">
        <v>402</v>
      </c>
    </row>
    <row r="251" spans="1:2" x14ac:dyDescent="0.4">
      <c r="A251" s="2" t="s">
        <v>502</v>
      </c>
      <c r="B251" s="2" t="s">
        <v>402</v>
      </c>
    </row>
    <row r="252" spans="1:2" x14ac:dyDescent="0.4">
      <c r="A252" s="3" t="s">
        <v>704</v>
      </c>
      <c r="B252" s="3" t="s">
        <v>475</v>
      </c>
    </row>
    <row r="253" spans="1:2" x14ac:dyDescent="0.4">
      <c r="A253" s="2" t="s">
        <v>468</v>
      </c>
      <c r="B253" s="2" t="s">
        <v>344</v>
      </c>
    </row>
    <row r="254" spans="1:2" x14ac:dyDescent="0.4">
      <c r="A254" s="3" t="s">
        <v>705</v>
      </c>
      <c r="B254" s="3" t="s">
        <v>475</v>
      </c>
    </row>
    <row r="255" spans="1:2" x14ac:dyDescent="0.4">
      <c r="A255" s="2" t="s">
        <v>706</v>
      </c>
      <c r="B255" s="2" t="s">
        <v>349</v>
      </c>
    </row>
    <row r="256" spans="1:2" x14ac:dyDescent="0.4">
      <c r="A256" s="3" t="s">
        <v>707</v>
      </c>
      <c r="B256" s="3" t="s">
        <v>455</v>
      </c>
    </row>
    <row r="257" spans="1:2" x14ac:dyDescent="0.4">
      <c r="A257" s="2" t="s">
        <v>708</v>
      </c>
      <c r="B257" s="2" t="s">
        <v>405</v>
      </c>
    </row>
    <row r="258" spans="1:2" x14ac:dyDescent="0.4">
      <c r="A258" s="3" t="s">
        <v>709</v>
      </c>
      <c r="B258" s="3" t="s">
        <v>405</v>
      </c>
    </row>
    <row r="259" spans="1:2" x14ac:dyDescent="0.4">
      <c r="A259" s="2" t="s">
        <v>233</v>
      </c>
      <c r="B259" s="2" t="s">
        <v>342</v>
      </c>
    </row>
    <row r="260" spans="1:2" x14ac:dyDescent="0.4">
      <c r="A260" s="3" t="s">
        <v>710</v>
      </c>
      <c r="B260" s="3" t="s">
        <v>405</v>
      </c>
    </row>
    <row r="261" spans="1:2" x14ac:dyDescent="0.4">
      <c r="A261" s="2" t="s">
        <v>305</v>
      </c>
      <c r="B261" s="2" t="s">
        <v>412</v>
      </c>
    </row>
    <row r="262" spans="1:2" x14ac:dyDescent="0.4">
      <c r="A262" s="3" t="s">
        <v>711</v>
      </c>
      <c r="B262" s="3" t="s">
        <v>434</v>
      </c>
    </row>
    <row r="263" spans="1:2" x14ac:dyDescent="0.4">
      <c r="A263" s="2" t="s">
        <v>574</v>
      </c>
      <c r="B263" s="2" t="s">
        <v>344</v>
      </c>
    </row>
    <row r="264" spans="1:2" x14ac:dyDescent="0.4">
      <c r="A264" s="3" t="s">
        <v>557</v>
      </c>
      <c r="B264" s="3" t="s">
        <v>425</v>
      </c>
    </row>
    <row r="265" spans="1:2" x14ac:dyDescent="0.4">
      <c r="A265" s="2" t="s">
        <v>712</v>
      </c>
      <c r="B265" s="2" t="s">
        <v>344</v>
      </c>
    </row>
    <row r="266" spans="1:2" x14ac:dyDescent="0.4">
      <c r="A266" s="2" t="s">
        <v>478</v>
      </c>
      <c r="B266" s="2" t="s">
        <v>479</v>
      </c>
    </row>
    <row r="267" spans="1:2" x14ac:dyDescent="0.4">
      <c r="A267" s="3" t="s">
        <v>713</v>
      </c>
      <c r="B267" s="3" t="s">
        <v>425</v>
      </c>
    </row>
    <row r="268" spans="1:2" x14ac:dyDescent="0.4">
      <c r="A268" s="2" t="s">
        <v>624</v>
      </c>
      <c r="B268" s="2" t="s">
        <v>414</v>
      </c>
    </row>
    <row r="269" spans="1:2" x14ac:dyDescent="0.4">
      <c r="A269" s="3" t="s">
        <v>499</v>
      </c>
      <c r="B269" s="3" t="s">
        <v>348</v>
      </c>
    </row>
    <row r="270" spans="1:2" x14ac:dyDescent="0.4">
      <c r="A270" s="2" t="s">
        <v>467</v>
      </c>
      <c r="B270" s="2" t="s">
        <v>458</v>
      </c>
    </row>
    <row r="271" spans="1:2" x14ac:dyDescent="0.4">
      <c r="A271" s="3" t="s">
        <v>714</v>
      </c>
      <c r="B271" s="3" t="s">
        <v>475</v>
      </c>
    </row>
    <row r="272" spans="1:2" x14ac:dyDescent="0.4">
      <c r="A272" s="2" t="s">
        <v>465</v>
      </c>
      <c r="B272" s="2" t="s">
        <v>466</v>
      </c>
    </row>
    <row r="273" spans="1:2" x14ac:dyDescent="0.4">
      <c r="A273" s="3" t="s">
        <v>715</v>
      </c>
      <c r="B273" s="3" t="s">
        <v>380</v>
      </c>
    </row>
    <row r="274" spans="1:2" x14ac:dyDescent="0.4">
      <c r="A274" s="2" t="s">
        <v>564</v>
      </c>
      <c r="B274" s="2" t="s">
        <v>402</v>
      </c>
    </row>
    <row r="275" spans="1:2" x14ac:dyDescent="0.4">
      <c r="A275" s="3" t="s">
        <v>716</v>
      </c>
      <c r="B275" s="3" t="s">
        <v>349</v>
      </c>
    </row>
    <row r="276" spans="1:2" x14ac:dyDescent="0.4">
      <c r="A276" s="2" t="s">
        <v>427</v>
      </c>
      <c r="B276" s="2" t="s">
        <v>402</v>
      </c>
    </row>
    <row r="277" spans="1:2" x14ac:dyDescent="0.4">
      <c r="A277" s="3" t="s">
        <v>508</v>
      </c>
      <c r="B277" s="3" t="s">
        <v>405</v>
      </c>
    </row>
    <row r="278" spans="1:2" x14ac:dyDescent="0.4">
      <c r="A278" s="2" t="s">
        <v>424</v>
      </c>
      <c r="B278" s="2" t="s">
        <v>345</v>
      </c>
    </row>
    <row r="279" spans="1:2" x14ac:dyDescent="0.4">
      <c r="A279" s="3" t="s">
        <v>369</v>
      </c>
      <c r="B279" s="3" t="s">
        <v>344</v>
      </c>
    </row>
    <row r="280" spans="1:2" x14ac:dyDescent="0.4">
      <c r="A280" s="2" t="s">
        <v>717</v>
      </c>
      <c r="B280" s="2" t="s">
        <v>404</v>
      </c>
    </row>
    <row r="281" spans="1:2" x14ac:dyDescent="0.4">
      <c r="A281" s="3" t="s">
        <v>505</v>
      </c>
      <c r="B281" s="3" t="s">
        <v>410</v>
      </c>
    </row>
    <row r="282" spans="1:2" x14ac:dyDescent="0.4">
      <c r="A282" s="2" t="s">
        <v>445</v>
      </c>
      <c r="B282" s="2" t="s">
        <v>402</v>
      </c>
    </row>
    <row r="283" spans="1:2" x14ac:dyDescent="0.4">
      <c r="A283" s="3" t="s">
        <v>718</v>
      </c>
      <c r="B283" s="3" t="s">
        <v>434</v>
      </c>
    </row>
    <row r="284" spans="1:2" x14ac:dyDescent="0.4">
      <c r="A284" s="2" t="s">
        <v>719</v>
      </c>
      <c r="B284" s="2" t="s">
        <v>347</v>
      </c>
    </row>
    <row r="285" spans="1:2" x14ac:dyDescent="0.4">
      <c r="A285" s="3" t="s">
        <v>720</v>
      </c>
      <c r="B285" s="3" t="s">
        <v>415</v>
      </c>
    </row>
    <row r="286" spans="1:2" x14ac:dyDescent="0.4">
      <c r="A286" s="2" t="s">
        <v>353</v>
      </c>
      <c r="B286" s="2" t="s">
        <v>402</v>
      </c>
    </row>
    <row r="287" spans="1:2" x14ac:dyDescent="0.4">
      <c r="A287" s="3" t="s">
        <v>721</v>
      </c>
      <c r="B287" s="3" t="s">
        <v>722</v>
      </c>
    </row>
    <row r="288" spans="1:2" x14ac:dyDescent="0.4">
      <c r="A288" s="2" t="s">
        <v>723</v>
      </c>
      <c r="B288" s="2" t="s">
        <v>344</v>
      </c>
    </row>
    <row r="289" spans="1:2" x14ac:dyDescent="0.4">
      <c r="A289" s="3" t="s">
        <v>542</v>
      </c>
      <c r="B289" s="3" t="s">
        <v>455</v>
      </c>
    </row>
    <row r="290" spans="1:2" x14ac:dyDescent="0.4">
      <c r="A290" s="2" t="s">
        <v>724</v>
      </c>
      <c r="B290" s="2" t="s">
        <v>402</v>
      </c>
    </row>
    <row r="291" spans="1:2" x14ac:dyDescent="0.4">
      <c r="A291" s="3" t="s">
        <v>447</v>
      </c>
      <c r="B291" s="3" t="s">
        <v>414</v>
      </c>
    </row>
    <row r="292" spans="1:2" x14ac:dyDescent="0.4">
      <c r="A292" s="2" t="s">
        <v>725</v>
      </c>
      <c r="B292" s="2" t="s">
        <v>501</v>
      </c>
    </row>
    <row r="293" spans="1:2" x14ac:dyDescent="0.4">
      <c r="A293" s="3" t="s">
        <v>520</v>
      </c>
      <c r="B293" s="3" t="s">
        <v>344</v>
      </c>
    </row>
    <row r="294" spans="1:2" x14ac:dyDescent="0.4">
      <c r="A294" s="2" t="s">
        <v>394</v>
      </c>
      <c r="B294" s="2" t="s">
        <v>402</v>
      </c>
    </row>
    <row r="295" spans="1:2" x14ac:dyDescent="0.4">
      <c r="A295" s="3" t="s">
        <v>726</v>
      </c>
      <c r="B295" s="3" t="s">
        <v>402</v>
      </c>
    </row>
    <row r="296" spans="1:2" x14ac:dyDescent="0.4">
      <c r="A296" s="2" t="s">
        <v>727</v>
      </c>
      <c r="B296" s="2" t="s">
        <v>348</v>
      </c>
    </row>
    <row r="297" spans="1:2" x14ac:dyDescent="0.4">
      <c r="A297" s="3" t="s">
        <v>368</v>
      </c>
      <c r="B297" s="3" t="s">
        <v>402</v>
      </c>
    </row>
    <row r="298" spans="1:2" x14ac:dyDescent="0.4">
      <c r="A298" s="2" t="s">
        <v>420</v>
      </c>
      <c r="B298" s="2" t="s">
        <v>410</v>
      </c>
    </row>
    <row r="299" spans="1:2" x14ac:dyDescent="0.4">
      <c r="A299" s="3" t="s">
        <v>728</v>
      </c>
      <c r="B299" s="3" t="s">
        <v>458</v>
      </c>
    </row>
    <row r="300" spans="1:2" x14ac:dyDescent="0.4">
      <c r="A300" s="2" t="s">
        <v>323</v>
      </c>
      <c r="B300" s="2" t="s">
        <v>402</v>
      </c>
    </row>
    <row r="301" spans="1:2" x14ac:dyDescent="0.4">
      <c r="A301" s="3" t="s">
        <v>729</v>
      </c>
      <c r="B301" s="3" t="s">
        <v>342</v>
      </c>
    </row>
    <row r="302" spans="1:2" x14ac:dyDescent="0.4">
      <c r="A302" s="2" t="s">
        <v>730</v>
      </c>
      <c r="B302" s="2" t="s">
        <v>425</v>
      </c>
    </row>
    <row r="303" spans="1:2" x14ac:dyDescent="0.4">
      <c r="A303" s="3" t="s">
        <v>532</v>
      </c>
      <c r="B303" s="3" t="s">
        <v>501</v>
      </c>
    </row>
    <row r="304" spans="1:2" x14ac:dyDescent="0.4">
      <c r="A304" s="2" t="s">
        <v>510</v>
      </c>
      <c r="B304" s="2" t="s">
        <v>466</v>
      </c>
    </row>
    <row r="305" spans="1:2" x14ac:dyDescent="0.4">
      <c r="A305" s="3" t="s">
        <v>731</v>
      </c>
      <c r="B305" s="3" t="s">
        <v>351</v>
      </c>
    </row>
    <row r="306" spans="1:2" x14ac:dyDescent="0.4">
      <c r="A306" s="2" t="s">
        <v>732</v>
      </c>
      <c r="B306" s="2" t="s">
        <v>405</v>
      </c>
    </row>
    <row r="307" spans="1:2" x14ac:dyDescent="0.4">
      <c r="A307" s="3" t="s">
        <v>733</v>
      </c>
      <c r="B307" s="3" t="s">
        <v>351</v>
      </c>
    </row>
    <row r="308" spans="1:2" x14ac:dyDescent="0.4">
      <c r="A308" s="2" t="s">
        <v>521</v>
      </c>
      <c r="B308" s="2" t="s">
        <v>402</v>
      </c>
    </row>
    <row r="309" spans="1:2" x14ac:dyDescent="0.4">
      <c r="A309" s="3" t="s">
        <v>517</v>
      </c>
      <c r="B309" s="3" t="s">
        <v>347</v>
      </c>
    </row>
    <row r="310" spans="1:2" x14ac:dyDescent="0.4">
      <c r="A310" s="2" t="s">
        <v>605</v>
      </c>
      <c r="B310" s="2" t="s">
        <v>501</v>
      </c>
    </row>
    <row r="311" spans="1:2" x14ac:dyDescent="0.4">
      <c r="A311" s="3" t="s">
        <v>511</v>
      </c>
      <c r="B311" s="3" t="s">
        <v>344</v>
      </c>
    </row>
    <row r="312" spans="1:2" x14ac:dyDescent="0.4">
      <c r="A312" s="2" t="s">
        <v>734</v>
      </c>
      <c r="B312" s="2" t="s">
        <v>350</v>
      </c>
    </row>
    <row r="313" spans="1:2" x14ac:dyDescent="0.4">
      <c r="A313" s="3" t="s">
        <v>735</v>
      </c>
      <c r="B313" s="3" t="s">
        <v>406</v>
      </c>
    </row>
    <row r="314" spans="1:2" x14ac:dyDescent="0.4">
      <c r="A314" s="2" t="s">
        <v>736</v>
      </c>
      <c r="B314" s="2" t="s">
        <v>349</v>
      </c>
    </row>
    <row r="315" spans="1:2" x14ac:dyDescent="0.4">
      <c r="A315" s="3" t="s">
        <v>506</v>
      </c>
      <c r="B315" s="3" t="s">
        <v>402</v>
      </c>
    </row>
    <row r="316" spans="1:2" x14ac:dyDescent="0.4">
      <c r="A316" s="2" t="s">
        <v>737</v>
      </c>
      <c r="B316" s="2" t="s">
        <v>348</v>
      </c>
    </row>
    <row r="317" spans="1:2" x14ac:dyDescent="0.4">
      <c r="A317" s="3" t="s">
        <v>738</v>
      </c>
      <c r="B317" s="3" t="s">
        <v>349</v>
      </c>
    </row>
    <row r="318" spans="1:2" x14ac:dyDescent="0.4">
      <c r="A318" s="2" t="s">
        <v>739</v>
      </c>
      <c r="B318" s="2" t="s">
        <v>545</v>
      </c>
    </row>
    <row r="319" spans="1:2" x14ac:dyDescent="0.4">
      <c r="A319" s="3" t="s">
        <v>495</v>
      </c>
      <c r="B319" s="3" t="s">
        <v>413</v>
      </c>
    </row>
    <row r="320" spans="1:2" x14ac:dyDescent="0.4">
      <c r="A320" s="2" t="s">
        <v>740</v>
      </c>
      <c r="B320" s="2" t="s">
        <v>405</v>
      </c>
    </row>
    <row r="321" spans="1:2" x14ac:dyDescent="0.4">
      <c r="A321" s="3" t="s">
        <v>741</v>
      </c>
      <c r="B321" s="3" t="s">
        <v>421</v>
      </c>
    </row>
    <row r="322" spans="1:2" x14ac:dyDescent="0.4">
      <c r="A322" s="2" t="s">
        <v>488</v>
      </c>
      <c r="B322" s="2" t="s">
        <v>342</v>
      </c>
    </row>
    <row r="323" spans="1:2" x14ac:dyDescent="0.4">
      <c r="A323" s="3" t="s">
        <v>742</v>
      </c>
      <c r="B323" s="3" t="s">
        <v>743</v>
      </c>
    </row>
    <row r="324" spans="1:2" x14ac:dyDescent="0.4">
      <c r="A324" s="2" t="s">
        <v>744</v>
      </c>
      <c r="B324" s="2" t="s">
        <v>458</v>
      </c>
    </row>
    <row r="325" spans="1:2" x14ac:dyDescent="0.4">
      <c r="A325" s="3" t="s">
        <v>745</v>
      </c>
      <c r="B325" s="3" t="s">
        <v>405</v>
      </c>
    </row>
    <row r="326" spans="1:2" x14ac:dyDescent="0.4">
      <c r="A326" s="2" t="s">
        <v>611</v>
      </c>
      <c r="B326" s="2" t="s">
        <v>612</v>
      </c>
    </row>
    <row r="327" spans="1:2" x14ac:dyDescent="0.4">
      <c r="A327" s="3" t="s">
        <v>601</v>
      </c>
      <c r="B327" s="3" t="s">
        <v>344</v>
      </c>
    </row>
    <row r="328" spans="1:2" x14ac:dyDescent="0.4">
      <c r="A328" s="2" t="s">
        <v>547</v>
      </c>
      <c r="B328" s="2" t="s">
        <v>548</v>
      </c>
    </row>
    <row r="329" spans="1:2" x14ac:dyDescent="0.4">
      <c r="A329" s="3" t="s">
        <v>746</v>
      </c>
      <c r="B329" s="3" t="s">
        <v>402</v>
      </c>
    </row>
    <row r="330" spans="1:2" x14ac:dyDescent="0.4">
      <c r="A330" s="2" t="s">
        <v>453</v>
      </c>
      <c r="B330" s="2" t="s">
        <v>416</v>
      </c>
    </row>
    <row r="331" spans="1:2" x14ac:dyDescent="0.4">
      <c r="A331" s="3" t="s">
        <v>747</v>
      </c>
      <c r="B331" s="3" t="s">
        <v>380</v>
      </c>
    </row>
    <row r="332" spans="1:2" x14ac:dyDescent="0.4">
      <c r="A332" s="2" t="s">
        <v>567</v>
      </c>
      <c r="B332" s="2" t="s">
        <v>406</v>
      </c>
    </row>
    <row r="333" spans="1:2" x14ac:dyDescent="0.4">
      <c r="A333" s="3" t="s">
        <v>748</v>
      </c>
      <c r="B333" s="3" t="s">
        <v>545</v>
      </c>
    </row>
    <row r="334" spans="1:2" x14ac:dyDescent="0.4">
      <c r="A334" s="2" t="s">
        <v>448</v>
      </c>
      <c r="B334" s="2" t="s">
        <v>347</v>
      </c>
    </row>
    <row r="335" spans="1:2" x14ac:dyDescent="0.4">
      <c r="A335" s="3" t="s">
        <v>749</v>
      </c>
      <c r="B335" s="3" t="s">
        <v>416</v>
      </c>
    </row>
    <row r="336" spans="1:2" x14ac:dyDescent="0.4">
      <c r="A336" s="2" t="s">
        <v>750</v>
      </c>
      <c r="B336" s="2" t="s">
        <v>751</v>
      </c>
    </row>
    <row r="337" spans="1:2" x14ac:dyDescent="0.4">
      <c r="A337" s="3" t="s">
        <v>366</v>
      </c>
      <c r="B337" s="3" t="s">
        <v>402</v>
      </c>
    </row>
    <row r="338" spans="1:2" x14ac:dyDescent="0.4">
      <c r="A338" s="2" t="s">
        <v>752</v>
      </c>
      <c r="B338" s="2" t="s">
        <v>425</v>
      </c>
    </row>
    <row r="339" spans="1:2" x14ac:dyDescent="0.4">
      <c r="A339" s="3" t="s">
        <v>753</v>
      </c>
      <c r="B339" s="3" t="s">
        <v>402</v>
      </c>
    </row>
    <row r="340" spans="1:2" x14ac:dyDescent="0.4">
      <c r="A340" s="2" t="s">
        <v>754</v>
      </c>
      <c r="B340" s="2" t="s">
        <v>416</v>
      </c>
    </row>
    <row r="341" spans="1:2" x14ac:dyDescent="0.4">
      <c r="A341" s="3" t="s">
        <v>755</v>
      </c>
      <c r="B341" s="3" t="s">
        <v>405</v>
      </c>
    </row>
    <row r="342" spans="1:2" x14ac:dyDescent="0.4">
      <c r="A342" s="2" t="s">
        <v>618</v>
      </c>
      <c r="B342" s="2" t="s">
        <v>405</v>
      </c>
    </row>
    <row r="343" spans="1:2" x14ac:dyDescent="0.4">
      <c r="A343" s="3" t="s">
        <v>756</v>
      </c>
      <c r="B343" s="3" t="s">
        <v>443</v>
      </c>
    </row>
    <row r="344" spans="1:2" x14ac:dyDescent="0.4">
      <c r="A344" s="2" t="s">
        <v>757</v>
      </c>
      <c r="B344" s="2" t="s">
        <v>405</v>
      </c>
    </row>
    <row r="345" spans="1:2" x14ac:dyDescent="0.4">
      <c r="A345" s="3" t="s">
        <v>758</v>
      </c>
      <c r="B345" s="3" t="s">
        <v>345</v>
      </c>
    </row>
    <row r="346" spans="1:2" x14ac:dyDescent="0.4">
      <c r="A346" s="2" t="s">
        <v>759</v>
      </c>
      <c r="B346" s="2" t="s">
        <v>417</v>
      </c>
    </row>
    <row r="347" spans="1:2" x14ac:dyDescent="0.4">
      <c r="A347" s="3" t="s">
        <v>760</v>
      </c>
      <c r="B347" s="3" t="s">
        <v>461</v>
      </c>
    </row>
    <row r="348" spans="1:2" x14ac:dyDescent="0.4">
      <c r="A348" s="2" t="s">
        <v>487</v>
      </c>
      <c r="B348" s="2" t="s">
        <v>485</v>
      </c>
    </row>
    <row r="349" spans="1:2" x14ac:dyDescent="0.4">
      <c r="A349" s="3" t="s">
        <v>603</v>
      </c>
      <c r="B349" s="3" t="s">
        <v>404</v>
      </c>
    </row>
    <row r="350" spans="1:2" x14ac:dyDescent="0.4">
      <c r="A350" s="2" t="s">
        <v>571</v>
      </c>
      <c r="B350" s="2" t="s">
        <v>548</v>
      </c>
    </row>
    <row r="351" spans="1:2" x14ac:dyDescent="0.4">
      <c r="A351" s="3" t="s">
        <v>761</v>
      </c>
      <c r="B351" s="3" t="s">
        <v>460</v>
      </c>
    </row>
    <row r="352" spans="1:2" x14ac:dyDescent="0.4">
      <c r="A352" s="2" t="s">
        <v>762</v>
      </c>
      <c r="B352" s="2" t="s">
        <v>408</v>
      </c>
    </row>
    <row r="353" spans="1:2" x14ac:dyDescent="0.4">
      <c r="A353" s="3" t="s">
        <v>627</v>
      </c>
      <c r="B353" s="3" t="s">
        <v>349</v>
      </c>
    </row>
    <row r="354" spans="1:2" x14ac:dyDescent="0.4">
      <c r="A354" s="2" t="s">
        <v>576</v>
      </c>
      <c r="B354" s="2" t="s">
        <v>343</v>
      </c>
    </row>
    <row r="355" spans="1:2" x14ac:dyDescent="0.4">
      <c r="A355" s="3" t="s">
        <v>763</v>
      </c>
      <c r="B355" s="3" t="s">
        <v>544</v>
      </c>
    </row>
    <row r="356" spans="1:2" x14ac:dyDescent="0.4">
      <c r="A356" s="2" t="s">
        <v>764</v>
      </c>
      <c r="B356" s="2" t="s">
        <v>405</v>
      </c>
    </row>
    <row r="357" spans="1:2" x14ac:dyDescent="0.4">
      <c r="A357" s="3" t="s">
        <v>765</v>
      </c>
      <c r="B357" s="3" t="s">
        <v>596</v>
      </c>
    </row>
    <row r="358" spans="1:2" x14ac:dyDescent="0.4">
      <c r="A358" s="2" t="s">
        <v>766</v>
      </c>
      <c r="B358" s="2" t="s">
        <v>345</v>
      </c>
    </row>
    <row r="359" spans="1:2" x14ac:dyDescent="0.4">
      <c r="A359" s="3" t="s">
        <v>354</v>
      </c>
      <c r="B359" s="3" t="s">
        <v>402</v>
      </c>
    </row>
    <row r="360" spans="1:2" x14ac:dyDescent="0.4">
      <c r="A360" s="2" t="s">
        <v>767</v>
      </c>
      <c r="B360" s="2" t="s">
        <v>472</v>
      </c>
    </row>
    <row r="361" spans="1:2" x14ac:dyDescent="0.4">
      <c r="A361" s="3" t="s">
        <v>768</v>
      </c>
      <c r="B361" s="3" t="s">
        <v>347</v>
      </c>
    </row>
    <row r="362" spans="1:2" x14ac:dyDescent="0.4">
      <c r="A362" s="2" t="s">
        <v>769</v>
      </c>
      <c r="B362" s="2" t="s">
        <v>402</v>
      </c>
    </row>
    <row r="363" spans="1:2" x14ac:dyDescent="0.4">
      <c r="A363" s="3" t="s">
        <v>337</v>
      </c>
      <c r="B363" s="3" t="s">
        <v>405</v>
      </c>
    </row>
    <row r="364" spans="1:2" x14ac:dyDescent="0.4">
      <c r="A364" s="2" t="s">
        <v>572</v>
      </c>
      <c r="B364" s="2" t="s">
        <v>501</v>
      </c>
    </row>
    <row r="365" spans="1:2" x14ac:dyDescent="0.4">
      <c r="A365" s="3" t="s">
        <v>496</v>
      </c>
      <c r="B365" s="3" t="s">
        <v>497</v>
      </c>
    </row>
    <row r="366" spans="1:2" x14ac:dyDescent="0.4">
      <c r="A366" s="2" t="s">
        <v>489</v>
      </c>
      <c r="B366" s="2" t="s">
        <v>490</v>
      </c>
    </row>
    <row r="367" spans="1:2" x14ac:dyDescent="0.4">
      <c r="A367" s="3" t="s">
        <v>770</v>
      </c>
      <c r="B367" s="3" t="s">
        <v>443</v>
      </c>
    </row>
    <row r="368" spans="1:2" x14ac:dyDescent="0.4">
      <c r="A368" s="2" t="s">
        <v>523</v>
      </c>
      <c r="B368" s="2" t="s">
        <v>421</v>
      </c>
    </row>
    <row r="369" spans="1:2" x14ac:dyDescent="0.4">
      <c r="A369" s="3" t="s">
        <v>771</v>
      </c>
      <c r="B369" s="3" t="s">
        <v>342</v>
      </c>
    </row>
    <row r="370" spans="1:2" x14ac:dyDescent="0.4">
      <c r="A370" s="2" t="s">
        <v>772</v>
      </c>
      <c r="B370" s="2" t="s">
        <v>773</v>
      </c>
    </row>
    <row r="371" spans="1:2" x14ac:dyDescent="0.4">
      <c r="A371" s="3" t="s">
        <v>774</v>
      </c>
      <c r="B371" s="3" t="s">
        <v>406</v>
      </c>
    </row>
    <row r="372" spans="1:2" x14ac:dyDescent="0.4">
      <c r="A372" s="2" t="s">
        <v>775</v>
      </c>
      <c r="B372" s="2" t="s">
        <v>458</v>
      </c>
    </row>
    <row r="373" spans="1:2" x14ac:dyDescent="0.4">
      <c r="A373" s="3" t="s">
        <v>776</v>
      </c>
      <c r="B373" s="3" t="s">
        <v>544</v>
      </c>
    </row>
    <row r="374" spans="1:2" x14ac:dyDescent="0.4">
      <c r="A374" s="2" t="s">
        <v>301</v>
      </c>
      <c r="B374" s="2" t="s">
        <v>412</v>
      </c>
    </row>
    <row r="375" spans="1:2" x14ac:dyDescent="0.4">
      <c r="A375" s="3" t="s">
        <v>518</v>
      </c>
      <c r="B375" s="3" t="s">
        <v>344</v>
      </c>
    </row>
    <row r="376" spans="1:2" x14ac:dyDescent="0.4">
      <c r="A376" s="2" t="s">
        <v>535</v>
      </c>
      <c r="B376" s="2" t="s">
        <v>421</v>
      </c>
    </row>
    <row r="377" spans="1:2" x14ac:dyDescent="0.4">
      <c r="A377" s="3" t="s">
        <v>777</v>
      </c>
      <c r="B377" s="3" t="s">
        <v>743</v>
      </c>
    </row>
    <row r="378" spans="1:2" x14ac:dyDescent="0.4">
      <c r="A378" s="2" t="s">
        <v>778</v>
      </c>
      <c r="B378" s="2" t="s">
        <v>405</v>
      </c>
    </row>
    <row r="379" spans="1:2" x14ac:dyDescent="0.4">
      <c r="A379" s="3" t="s">
        <v>779</v>
      </c>
      <c r="B379" s="3" t="s">
        <v>347</v>
      </c>
    </row>
    <row r="380" spans="1:2" x14ac:dyDescent="0.4">
      <c r="A380" s="2" t="s">
        <v>780</v>
      </c>
      <c r="B380" s="2" t="s">
        <v>410</v>
      </c>
    </row>
    <row r="381" spans="1:2" x14ac:dyDescent="0.4">
      <c r="A381" s="3" t="s">
        <v>781</v>
      </c>
      <c r="B381" s="3" t="s">
        <v>345</v>
      </c>
    </row>
    <row r="382" spans="1:2" x14ac:dyDescent="0.4">
      <c r="A382" s="2" t="s">
        <v>484</v>
      </c>
      <c r="B382" s="2" t="s">
        <v>485</v>
      </c>
    </row>
    <row r="383" spans="1:2" x14ac:dyDescent="0.4">
      <c r="A383" s="3" t="s">
        <v>587</v>
      </c>
      <c r="B383" s="3" t="s">
        <v>344</v>
      </c>
    </row>
    <row r="384" spans="1:2" x14ac:dyDescent="0.4">
      <c r="A384" s="2" t="s">
        <v>782</v>
      </c>
      <c r="B384" s="2" t="s">
        <v>783</v>
      </c>
    </row>
    <row r="385" spans="1:2" x14ac:dyDescent="0.4">
      <c r="A385" s="3" t="s">
        <v>784</v>
      </c>
      <c r="B385" s="3" t="s">
        <v>402</v>
      </c>
    </row>
    <row r="386" spans="1:2" x14ac:dyDescent="0.4">
      <c r="A386" s="2" t="s">
        <v>785</v>
      </c>
      <c r="B386" s="2" t="s">
        <v>344</v>
      </c>
    </row>
    <row r="387" spans="1:2" x14ac:dyDescent="0.4">
      <c r="A387" s="3" t="s">
        <v>786</v>
      </c>
      <c r="B387" s="3" t="s">
        <v>406</v>
      </c>
    </row>
    <row r="388" spans="1:2" x14ac:dyDescent="0.4">
      <c r="A388" s="2" t="s">
        <v>787</v>
      </c>
      <c r="B388" s="2" t="s">
        <v>348</v>
      </c>
    </row>
    <row r="389" spans="1:2" x14ac:dyDescent="0.4">
      <c r="A389" s="3" t="s">
        <v>788</v>
      </c>
      <c r="B389" s="3" t="s">
        <v>405</v>
      </c>
    </row>
    <row r="390" spans="1:2" x14ac:dyDescent="0.4">
      <c r="A390" s="2" t="s">
        <v>789</v>
      </c>
      <c r="B390" s="2" t="s">
        <v>344</v>
      </c>
    </row>
    <row r="391" spans="1:2" x14ac:dyDescent="0.4">
      <c r="A391" s="3" t="s">
        <v>595</v>
      </c>
      <c r="B391" s="3" t="s">
        <v>596</v>
      </c>
    </row>
    <row r="392" spans="1:2" x14ac:dyDescent="0.4">
      <c r="A392" s="2" t="s">
        <v>790</v>
      </c>
      <c r="B392" s="2" t="s">
        <v>380</v>
      </c>
    </row>
    <row r="393" spans="1:2" x14ac:dyDescent="0.4">
      <c r="A393" s="3" t="s">
        <v>791</v>
      </c>
      <c r="B393" s="3" t="s">
        <v>406</v>
      </c>
    </row>
    <row r="394" spans="1:2" x14ac:dyDescent="0.4">
      <c r="A394" s="2" t="s">
        <v>792</v>
      </c>
      <c r="B394" s="2" t="s">
        <v>405</v>
      </c>
    </row>
    <row r="395" spans="1:2" x14ac:dyDescent="0.4">
      <c r="A395" s="3" t="s">
        <v>793</v>
      </c>
      <c r="B395" s="3" t="s">
        <v>425</v>
      </c>
    </row>
    <row r="396" spans="1:2" x14ac:dyDescent="0.4">
      <c r="A396" s="2" t="s">
        <v>794</v>
      </c>
      <c r="B396" s="2" t="s">
        <v>344</v>
      </c>
    </row>
    <row r="397" spans="1:2" x14ac:dyDescent="0.4">
      <c r="A397" s="3" t="s">
        <v>795</v>
      </c>
      <c r="B397" s="3" t="s">
        <v>349</v>
      </c>
    </row>
    <row r="398" spans="1:2" x14ac:dyDescent="0.4">
      <c r="A398" s="2" t="s">
        <v>796</v>
      </c>
      <c r="B398" s="2" t="s">
        <v>443</v>
      </c>
    </row>
    <row r="399" spans="1:2" x14ac:dyDescent="0.4">
      <c r="A399" s="3" t="s">
        <v>512</v>
      </c>
      <c r="B399" s="3" t="s">
        <v>344</v>
      </c>
    </row>
    <row r="400" spans="1:2" x14ac:dyDescent="0.4">
      <c r="A400" s="2" t="s">
        <v>797</v>
      </c>
      <c r="B400" s="2" t="s">
        <v>455</v>
      </c>
    </row>
    <row r="401" spans="1:2" x14ac:dyDescent="0.4">
      <c r="A401" s="18" t="s">
        <v>579</v>
      </c>
      <c r="B401" s="18" t="s">
        <v>348</v>
      </c>
    </row>
    <row r="402" spans="1:2" x14ac:dyDescent="0.4">
      <c r="A402" t="s">
        <v>798</v>
      </c>
      <c r="B402" t="s">
        <v>350</v>
      </c>
    </row>
    <row r="403" spans="1:2" x14ac:dyDescent="0.4">
      <c r="A403" t="s">
        <v>799</v>
      </c>
      <c r="B403" t="s">
        <v>425</v>
      </c>
    </row>
    <row r="404" spans="1:2" x14ac:dyDescent="0.4">
      <c r="A404" t="s">
        <v>800</v>
      </c>
      <c r="B404" t="s">
        <v>415</v>
      </c>
    </row>
    <row r="405" spans="1:2" x14ac:dyDescent="0.4">
      <c r="A405" t="s">
        <v>531</v>
      </c>
      <c r="B405" t="s">
        <v>458</v>
      </c>
    </row>
    <row r="406" spans="1:2" x14ac:dyDescent="0.4">
      <c r="A406" t="s">
        <v>492</v>
      </c>
      <c r="B406" t="s">
        <v>345</v>
      </c>
    </row>
    <row r="407" spans="1:2" x14ac:dyDescent="0.4">
      <c r="A407" t="s">
        <v>801</v>
      </c>
      <c r="B407" t="s">
        <v>342</v>
      </c>
    </row>
    <row r="408" spans="1:2" x14ac:dyDescent="0.4">
      <c r="A408" t="s">
        <v>802</v>
      </c>
      <c r="B408" t="s">
        <v>434</v>
      </c>
    </row>
    <row r="409" spans="1:2" x14ac:dyDescent="0.4">
      <c r="A409" t="s">
        <v>538</v>
      </c>
      <c r="B409" t="s">
        <v>345</v>
      </c>
    </row>
    <row r="410" spans="1:2" x14ac:dyDescent="0.4">
      <c r="A410" t="s">
        <v>803</v>
      </c>
      <c r="B410" t="s">
        <v>345</v>
      </c>
    </row>
    <row r="411" spans="1:2" x14ac:dyDescent="0.4">
      <c r="A411" t="s">
        <v>804</v>
      </c>
      <c r="B411" t="s">
        <v>434</v>
      </c>
    </row>
    <row r="412" spans="1:2" x14ac:dyDescent="0.4">
      <c r="A412" t="s">
        <v>491</v>
      </c>
      <c r="B412" t="s">
        <v>415</v>
      </c>
    </row>
    <row r="413" spans="1:2" x14ac:dyDescent="0.4">
      <c r="A413" t="s">
        <v>805</v>
      </c>
      <c r="B413" t="s">
        <v>475</v>
      </c>
    </row>
    <row r="414" spans="1:2" x14ac:dyDescent="0.4">
      <c r="A414" t="s">
        <v>806</v>
      </c>
      <c r="B414" t="s">
        <v>402</v>
      </c>
    </row>
    <row r="415" spans="1:2" x14ac:dyDescent="0.4">
      <c r="A415" t="s">
        <v>807</v>
      </c>
      <c r="B415" t="s">
        <v>348</v>
      </c>
    </row>
    <row r="416" spans="1:2" x14ac:dyDescent="0.4">
      <c r="A416" t="s">
        <v>486</v>
      </c>
      <c r="B416" t="s">
        <v>458</v>
      </c>
    </row>
    <row r="417" spans="1:2" x14ac:dyDescent="0.4">
      <c r="A417" t="s">
        <v>808</v>
      </c>
      <c r="B417" t="s">
        <v>479</v>
      </c>
    </row>
    <row r="418" spans="1:2" x14ac:dyDescent="0.4">
      <c r="A418" t="s">
        <v>809</v>
      </c>
      <c r="B418" t="s">
        <v>349</v>
      </c>
    </row>
    <row r="419" spans="1:2" x14ac:dyDescent="0.4">
      <c r="A419" t="s">
        <v>376</v>
      </c>
      <c r="B419" t="s">
        <v>349</v>
      </c>
    </row>
    <row r="420" spans="1:2" x14ac:dyDescent="0.4">
      <c r="A420" t="s">
        <v>810</v>
      </c>
      <c r="B420" t="s">
        <v>548</v>
      </c>
    </row>
    <row r="421" spans="1:2" x14ac:dyDescent="0.4">
      <c r="A421" t="s">
        <v>811</v>
      </c>
      <c r="B421" t="s">
        <v>417</v>
      </c>
    </row>
    <row r="422" spans="1:2" x14ac:dyDescent="0.4">
      <c r="A422" t="s">
        <v>812</v>
      </c>
      <c r="B422" t="s">
        <v>342</v>
      </c>
    </row>
    <row r="423" spans="1:2" x14ac:dyDescent="0.4">
      <c r="A423" t="s">
        <v>813</v>
      </c>
      <c r="B423" t="s">
        <v>425</v>
      </c>
    </row>
    <row r="424" spans="1:2" x14ac:dyDescent="0.4">
      <c r="A424" t="s">
        <v>814</v>
      </c>
      <c r="B424" t="s">
        <v>348</v>
      </c>
    </row>
    <row r="425" spans="1:2" x14ac:dyDescent="0.4">
      <c r="A425" t="s">
        <v>815</v>
      </c>
      <c r="B425" t="s">
        <v>443</v>
      </c>
    </row>
    <row r="426" spans="1:2" x14ac:dyDescent="0.4">
      <c r="A426" t="s">
        <v>816</v>
      </c>
      <c r="B426" t="s">
        <v>345</v>
      </c>
    </row>
    <row r="427" spans="1:2" x14ac:dyDescent="0.4">
      <c r="A427" t="s">
        <v>817</v>
      </c>
      <c r="B427" t="s">
        <v>402</v>
      </c>
    </row>
    <row r="428" spans="1:2" x14ac:dyDescent="0.4">
      <c r="A428" t="s">
        <v>818</v>
      </c>
      <c r="B428" t="s">
        <v>408</v>
      </c>
    </row>
    <row r="429" spans="1:2" x14ac:dyDescent="0.4">
      <c r="A429" t="s">
        <v>819</v>
      </c>
      <c r="B429" t="s">
        <v>342</v>
      </c>
    </row>
    <row r="430" spans="1:2" x14ac:dyDescent="0.4">
      <c r="A430" t="s">
        <v>820</v>
      </c>
      <c r="B430" t="s">
        <v>344</v>
      </c>
    </row>
    <row r="431" spans="1:2" x14ac:dyDescent="0.4">
      <c r="A431" t="s">
        <v>821</v>
      </c>
      <c r="B431" t="s">
        <v>479</v>
      </c>
    </row>
    <row r="432" spans="1:2" x14ac:dyDescent="0.4">
      <c r="A432" t="s">
        <v>822</v>
      </c>
      <c r="B432" t="s">
        <v>425</v>
      </c>
    </row>
    <row r="433" spans="1:2" x14ac:dyDescent="0.4">
      <c r="A433" t="s">
        <v>823</v>
      </c>
      <c r="B433" t="s">
        <v>342</v>
      </c>
    </row>
    <row r="434" spans="1:2" x14ac:dyDescent="0.4">
      <c r="A434" t="s">
        <v>498</v>
      </c>
      <c r="B434" t="s">
        <v>405</v>
      </c>
    </row>
    <row r="435" spans="1:2" x14ac:dyDescent="0.4">
      <c r="A435" t="s">
        <v>824</v>
      </c>
      <c r="B435" t="s">
        <v>349</v>
      </c>
    </row>
    <row r="436" spans="1:2" x14ac:dyDescent="0.4">
      <c r="A436" t="s">
        <v>825</v>
      </c>
      <c r="B436" t="s">
        <v>417</v>
      </c>
    </row>
    <row r="437" spans="1:2" x14ac:dyDescent="0.4">
      <c r="A437" t="s">
        <v>826</v>
      </c>
      <c r="B437" t="s">
        <v>643</v>
      </c>
    </row>
    <row r="438" spans="1:2" x14ac:dyDescent="0.4">
      <c r="A438" t="s">
        <v>554</v>
      </c>
      <c r="B438" t="s">
        <v>425</v>
      </c>
    </row>
    <row r="439" spans="1:2" x14ac:dyDescent="0.4">
      <c r="A439" t="s">
        <v>527</v>
      </c>
      <c r="B439" t="s">
        <v>425</v>
      </c>
    </row>
    <row r="440" spans="1:2" x14ac:dyDescent="0.4">
      <c r="A440" t="s">
        <v>827</v>
      </c>
      <c r="B440" t="s">
        <v>417</v>
      </c>
    </row>
    <row r="441" spans="1:2" x14ac:dyDescent="0.4">
      <c r="A441" t="s">
        <v>828</v>
      </c>
      <c r="B441" t="s">
        <v>380</v>
      </c>
    </row>
    <row r="442" spans="1:2" x14ac:dyDescent="0.4">
      <c r="A442" t="s">
        <v>829</v>
      </c>
      <c r="B442" t="s">
        <v>348</v>
      </c>
    </row>
    <row r="443" spans="1:2" x14ac:dyDescent="0.4">
      <c r="A443" t="s">
        <v>830</v>
      </c>
      <c r="B443" t="s">
        <v>722</v>
      </c>
    </row>
    <row r="444" spans="1:2" x14ac:dyDescent="0.4">
      <c r="A444" t="s">
        <v>831</v>
      </c>
      <c r="B444" t="s">
        <v>421</v>
      </c>
    </row>
    <row r="445" spans="1:2" x14ac:dyDescent="0.4">
      <c r="A445" t="s">
        <v>440</v>
      </c>
      <c r="B445" t="s">
        <v>349</v>
      </c>
    </row>
    <row r="446" spans="1:2" x14ac:dyDescent="0.4">
      <c r="A446" t="s">
        <v>832</v>
      </c>
      <c r="B446" t="s">
        <v>402</v>
      </c>
    </row>
    <row r="447" spans="1:2" x14ac:dyDescent="0.4">
      <c r="A447" t="s">
        <v>614</v>
      </c>
      <c r="B447" t="s">
        <v>615</v>
      </c>
    </row>
    <row r="448" spans="1:2" x14ac:dyDescent="0.4">
      <c r="A448" t="s">
        <v>833</v>
      </c>
      <c r="B448" t="s">
        <v>834</v>
      </c>
    </row>
    <row r="449" spans="1:2" x14ac:dyDescent="0.4">
      <c r="A449" t="s">
        <v>835</v>
      </c>
      <c r="B449" t="s">
        <v>349</v>
      </c>
    </row>
    <row r="450" spans="1:2" x14ac:dyDescent="0.4">
      <c r="A450" t="s">
        <v>836</v>
      </c>
      <c r="B450" t="s">
        <v>402</v>
      </c>
    </row>
    <row r="451" spans="1:2" x14ac:dyDescent="0.4">
      <c r="A451" t="s">
        <v>837</v>
      </c>
      <c r="B451" t="s">
        <v>421</v>
      </c>
    </row>
    <row r="452" spans="1:2" x14ac:dyDescent="0.4">
      <c r="A452" t="s">
        <v>838</v>
      </c>
      <c r="B452" t="s">
        <v>413</v>
      </c>
    </row>
    <row r="453" spans="1:2" x14ac:dyDescent="0.4">
      <c r="A453" t="s">
        <v>839</v>
      </c>
      <c r="B453" t="s">
        <v>349</v>
      </c>
    </row>
    <row r="454" spans="1:2" x14ac:dyDescent="0.4">
      <c r="A454" t="s">
        <v>840</v>
      </c>
      <c r="B454" t="s">
        <v>405</v>
      </c>
    </row>
    <row r="455" spans="1:2" x14ac:dyDescent="0.4">
      <c r="A455" t="s">
        <v>841</v>
      </c>
      <c r="B455" t="s">
        <v>402</v>
      </c>
    </row>
    <row r="456" spans="1:2" x14ac:dyDescent="0.4">
      <c r="A456" t="s">
        <v>842</v>
      </c>
      <c r="B456" t="s">
        <v>843</v>
      </c>
    </row>
    <row r="457" spans="1:2" x14ac:dyDescent="0.4">
      <c r="A457" t="s">
        <v>844</v>
      </c>
      <c r="B457" t="s">
        <v>743</v>
      </c>
    </row>
    <row r="458" spans="1:2" x14ac:dyDescent="0.4">
      <c r="A458" t="s">
        <v>397</v>
      </c>
      <c r="B458" t="s">
        <v>344</v>
      </c>
    </row>
    <row r="459" spans="1:2" x14ac:dyDescent="0.4">
      <c r="A459" t="s">
        <v>845</v>
      </c>
      <c r="B459" t="s">
        <v>402</v>
      </c>
    </row>
    <row r="460" spans="1:2" x14ac:dyDescent="0.4">
      <c r="A460" t="s">
        <v>846</v>
      </c>
      <c r="B460" t="s">
        <v>418</v>
      </c>
    </row>
    <row r="461" spans="1:2" x14ac:dyDescent="0.4">
      <c r="A461" t="s">
        <v>847</v>
      </c>
      <c r="B461" t="s">
        <v>402</v>
      </c>
    </row>
    <row r="462" spans="1:2" x14ac:dyDescent="0.4">
      <c r="A462" t="s">
        <v>848</v>
      </c>
      <c r="B462" t="s">
        <v>612</v>
      </c>
    </row>
    <row r="463" spans="1:2" x14ac:dyDescent="0.4">
      <c r="A463" t="s">
        <v>849</v>
      </c>
      <c r="B463" t="s">
        <v>421</v>
      </c>
    </row>
    <row r="464" spans="1:2" x14ac:dyDescent="0.4">
      <c r="A464" t="s">
        <v>850</v>
      </c>
      <c r="B464" t="s">
        <v>344</v>
      </c>
    </row>
    <row r="465" spans="1:2" x14ac:dyDescent="0.4">
      <c r="A465" t="s">
        <v>851</v>
      </c>
      <c r="B465" t="s">
        <v>345</v>
      </c>
    </row>
    <row r="466" spans="1:2" x14ac:dyDescent="0.4">
      <c r="A466" t="s">
        <v>852</v>
      </c>
      <c r="B466" t="s">
        <v>416</v>
      </c>
    </row>
    <row r="467" spans="1:2" x14ac:dyDescent="0.4">
      <c r="A467" t="s">
        <v>853</v>
      </c>
      <c r="B467" t="s">
        <v>347</v>
      </c>
    </row>
    <row r="468" spans="1:2" x14ac:dyDescent="0.4">
      <c r="A468" t="s">
        <v>854</v>
      </c>
      <c r="B468" t="s">
        <v>405</v>
      </c>
    </row>
    <row r="469" spans="1:2" x14ac:dyDescent="0.4">
      <c r="A469" t="s">
        <v>855</v>
      </c>
      <c r="B469" t="s">
        <v>402</v>
      </c>
    </row>
    <row r="470" spans="1:2" x14ac:dyDescent="0.4">
      <c r="A470" t="s">
        <v>856</v>
      </c>
      <c r="B470" t="s">
        <v>460</v>
      </c>
    </row>
    <row r="471" spans="1:2" x14ac:dyDescent="0.4">
      <c r="A471" t="s">
        <v>857</v>
      </c>
      <c r="B471" t="s">
        <v>347</v>
      </c>
    </row>
    <row r="472" spans="1:2" x14ac:dyDescent="0.4">
      <c r="A472" t="s">
        <v>858</v>
      </c>
      <c r="B472" t="s">
        <v>859</v>
      </c>
    </row>
    <row r="473" spans="1:2" x14ac:dyDescent="0.4">
      <c r="A473" t="s">
        <v>860</v>
      </c>
      <c r="B473" t="s">
        <v>425</v>
      </c>
    </row>
    <row r="474" spans="1:2" x14ac:dyDescent="0.4">
      <c r="A474" t="s">
        <v>861</v>
      </c>
      <c r="B474" t="s">
        <v>405</v>
      </c>
    </row>
    <row r="475" spans="1:2" x14ac:dyDescent="0.4">
      <c r="A475" t="s">
        <v>862</v>
      </c>
      <c r="B475" t="s">
        <v>408</v>
      </c>
    </row>
    <row r="476" spans="1:2" x14ac:dyDescent="0.4">
      <c r="A476" t="s">
        <v>863</v>
      </c>
      <c r="B476" t="s">
        <v>406</v>
      </c>
    </row>
    <row r="477" spans="1:2" x14ac:dyDescent="0.4">
      <c r="A477" t="s">
        <v>864</v>
      </c>
      <c r="B477" t="s">
        <v>346</v>
      </c>
    </row>
    <row r="478" spans="1:2" x14ac:dyDescent="0.4">
      <c r="A478" t="s">
        <v>865</v>
      </c>
      <c r="B478" t="s">
        <v>421</v>
      </c>
    </row>
    <row r="479" spans="1:2" x14ac:dyDescent="0.4">
      <c r="A479" t="s">
        <v>866</v>
      </c>
      <c r="B479" t="s">
        <v>349</v>
      </c>
    </row>
    <row r="480" spans="1:2" x14ac:dyDescent="0.4">
      <c r="A480" t="s">
        <v>867</v>
      </c>
      <c r="B480" t="s">
        <v>406</v>
      </c>
    </row>
    <row r="481" spans="1:2" x14ac:dyDescent="0.4">
      <c r="A481" t="s">
        <v>868</v>
      </c>
      <c r="B481" t="s">
        <v>343</v>
      </c>
    </row>
    <row r="482" spans="1:2" x14ac:dyDescent="0.4">
      <c r="A482" t="s">
        <v>869</v>
      </c>
      <c r="B482" t="s">
        <v>405</v>
      </c>
    </row>
    <row r="483" spans="1:2" x14ac:dyDescent="0.4">
      <c r="A483" t="s">
        <v>870</v>
      </c>
      <c r="B483" t="s">
        <v>405</v>
      </c>
    </row>
    <row r="484" spans="1:2" x14ac:dyDescent="0.4">
      <c r="A484" t="s">
        <v>871</v>
      </c>
      <c r="B484" t="s">
        <v>872</v>
      </c>
    </row>
    <row r="485" spans="1:2" x14ac:dyDescent="0.4">
      <c r="A485" t="s">
        <v>558</v>
      </c>
      <c r="B485" t="s">
        <v>343</v>
      </c>
    </row>
    <row r="486" spans="1:2" x14ac:dyDescent="0.4">
      <c r="A486" t="s">
        <v>613</v>
      </c>
      <c r="B486" t="s">
        <v>596</v>
      </c>
    </row>
    <row r="487" spans="1:2" x14ac:dyDescent="0.4">
      <c r="A487" t="s">
        <v>561</v>
      </c>
      <c r="B487" t="s">
        <v>345</v>
      </c>
    </row>
    <row r="488" spans="1:2" x14ac:dyDescent="0.4">
      <c r="A488" t="s">
        <v>873</v>
      </c>
      <c r="B488" t="s">
        <v>348</v>
      </c>
    </row>
    <row r="489" spans="1:2" x14ac:dyDescent="0.4">
      <c r="A489" t="s">
        <v>874</v>
      </c>
      <c r="B489" t="s">
        <v>349</v>
      </c>
    </row>
    <row r="490" spans="1:2" x14ac:dyDescent="0.4">
      <c r="A490" t="s">
        <v>875</v>
      </c>
      <c r="B490" t="s">
        <v>466</v>
      </c>
    </row>
    <row r="491" spans="1:2" x14ac:dyDescent="0.4">
      <c r="A491" t="s">
        <v>876</v>
      </c>
      <c r="B491" t="s">
        <v>407</v>
      </c>
    </row>
    <row r="492" spans="1:2" x14ac:dyDescent="0.4">
      <c r="A492" t="s">
        <v>877</v>
      </c>
      <c r="B492" t="s">
        <v>405</v>
      </c>
    </row>
    <row r="493" spans="1:2" x14ac:dyDescent="0.4">
      <c r="A493" t="s">
        <v>878</v>
      </c>
      <c r="B493" t="s">
        <v>643</v>
      </c>
    </row>
    <row r="494" spans="1:2" x14ac:dyDescent="0.4">
      <c r="A494" t="s">
        <v>879</v>
      </c>
      <c r="B494" t="s">
        <v>475</v>
      </c>
    </row>
    <row r="495" spans="1:2" x14ac:dyDescent="0.4">
      <c r="A495" t="s">
        <v>880</v>
      </c>
      <c r="B495" t="s">
        <v>342</v>
      </c>
    </row>
    <row r="496" spans="1:2" x14ac:dyDescent="0.4">
      <c r="A496" t="s">
        <v>566</v>
      </c>
      <c r="B496" t="s">
        <v>348</v>
      </c>
    </row>
    <row r="497" spans="1:2" x14ac:dyDescent="0.4">
      <c r="A497" t="s">
        <v>881</v>
      </c>
      <c r="B497" t="s">
        <v>743</v>
      </c>
    </row>
    <row r="498" spans="1:2" x14ac:dyDescent="0.4">
      <c r="A498" t="s">
        <v>882</v>
      </c>
      <c r="B498" t="s">
        <v>349</v>
      </c>
    </row>
    <row r="499" spans="1:2" x14ac:dyDescent="0.4">
      <c r="A499" t="s">
        <v>883</v>
      </c>
      <c r="B499" t="s">
        <v>443</v>
      </c>
    </row>
    <row r="500" spans="1:2" x14ac:dyDescent="0.4">
      <c r="A500" t="s">
        <v>884</v>
      </c>
      <c r="B500" t="s">
        <v>348</v>
      </c>
    </row>
    <row r="501" spans="1:2" x14ac:dyDescent="0.4">
      <c r="A501" t="s">
        <v>885</v>
      </c>
      <c r="B501" t="s">
        <v>405</v>
      </c>
    </row>
    <row r="502" spans="1:2" x14ac:dyDescent="0.4">
      <c r="A502" t="s">
        <v>886</v>
      </c>
      <c r="B502" t="s">
        <v>421</v>
      </c>
    </row>
    <row r="503" spans="1:2" x14ac:dyDescent="0.4">
      <c r="A503" t="s">
        <v>887</v>
      </c>
      <c r="B503" t="s">
        <v>888</v>
      </c>
    </row>
    <row r="504" spans="1:2" x14ac:dyDescent="0.4">
      <c r="A504" t="s">
        <v>889</v>
      </c>
      <c r="B504" t="s">
        <v>416</v>
      </c>
    </row>
    <row r="505" spans="1:2" x14ac:dyDescent="0.4">
      <c r="A505" t="s">
        <v>890</v>
      </c>
      <c r="B505" t="s">
        <v>405</v>
      </c>
    </row>
    <row r="506" spans="1:2" x14ac:dyDescent="0.4">
      <c r="A506" t="s">
        <v>891</v>
      </c>
      <c r="B506" t="s">
        <v>405</v>
      </c>
    </row>
    <row r="507" spans="1:2" x14ac:dyDescent="0.4">
      <c r="A507" t="s">
        <v>582</v>
      </c>
      <c r="B507" t="s">
        <v>406</v>
      </c>
    </row>
    <row r="508" spans="1:2" x14ac:dyDescent="0.4">
      <c r="A508" t="s">
        <v>892</v>
      </c>
      <c r="B508" t="s">
        <v>405</v>
      </c>
    </row>
    <row r="509" spans="1:2" x14ac:dyDescent="0.4">
      <c r="A509" t="s">
        <v>893</v>
      </c>
      <c r="B509" t="s">
        <v>347</v>
      </c>
    </row>
    <row r="510" spans="1:2" x14ac:dyDescent="0.4">
      <c r="A510" t="s">
        <v>894</v>
      </c>
      <c r="B510" t="s">
        <v>417</v>
      </c>
    </row>
    <row r="511" spans="1:2" x14ac:dyDescent="0.4">
      <c r="A511" t="s">
        <v>895</v>
      </c>
      <c r="B511" t="s">
        <v>455</v>
      </c>
    </row>
    <row r="512" spans="1:2" x14ac:dyDescent="0.4">
      <c r="A512" t="s">
        <v>896</v>
      </c>
      <c r="B512" t="s">
        <v>475</v>
      </c>
    </row>
    <row r="513" spans="1:2" x14ac:dyDescent="0.4">
      <c r="A513" t="s">
        <v>568</v>
      </c>
      <c r="B513" t="s">
        <v>490</v>
      </c>
    </row>
    <row r="514" spans="1:2" x14ac:dyDescent="0.4">
      <c r="A514" t="s">
        <v>483</v>
      </c>
      <c r="B514" t="s">
        <v>403</v>
      </c>
    </row>
    <row r="515" spans="1:2" x14ac:dyDescent="0.4">
      <c r="A515" t="s">
        <v>296</v>
      </c>
      <c r="B515" t="s">
        <v>344</v>
      </c>
    </row>
    <row r="516" spans="1:2" x14ac:dyDescent="0.4">
      <c r="A516" t="s">
        <v>897</v>
      </c>
      <c r="B516" t="s">
        <v>344</v>
      </c>
    </row>
    <row r="517" spans="1:2" x14ac:dyDescent="0.4">
      <c r="A517" t="s">
        <v>898</v>
      </c>
      <c r="B517" t="s">
        <v>464</v>
      </c>
    </row>
    <row r="518" spans="1:2" x14ac:dyDescent="0.4">
      <c r="A518" t="s">
        <v>899</v>
      </c>
      <c r="B518" t="s">
        <v>455</v>
      </c>
    </row>
    <row r="519" spans="1:2" x14ac:dyDescent="0.4">
      <c r="A519" t="s">
        <v>900</v>
      </c>
      <c r="B519" t="s">
        <v>418</v>
      </c>
    </row>
    <row r="520" spans="1:2" x14ac:dyDescent="0.4">
      <c r="A520" t="s">
        <v>901</v>
      </c>
      <c r="B520" t="s">
        <v>344</v>
      </c>
    </row>
    <row r="521" spans="1:2" x14ac:dyDescent="0.4">
      <c r="A521" t="s">
        <v>902</v>
      </c>
      <c r="B521" t="s">
        <v>406</v>
      </c>
    </row>
    <row r="522" spans="1:2" x14ac:dyDescent="0.4">
      <c r="A522" t="s">
        <v>903</v>
      </c>
      <c r="B522" t="s">
        <v>403</v>
      </c>
    </row>
    <row r="523" spans="1:2" x14ac:dyDescent="0.4">
      <c r="A523" t="s">
        <v>904</v>
      </c>
      <c r="B523" t="s">
        <v>418</v>
      </c>
    </row>
    <row r="524" spans="1:2" x14ac:dyDescent="0.4">
      <c r="A524" t="s">
        <v>905</v>
      </c>
      <c r="B524" t="s">
        <v>405</v>
      </c>
    </row>
    <row r="525" spans="1:2" x14ac:dyDescent="0.4">
      <c r="A525" t="s">
        <v>906</v>
      </c>
      <c r="B525" t="s">
        <v>421</v>
      </c>
    </row>
    <row r="526" spans="1:2" x14ac:dyDescent="0.4">
      <c r="A526" t="s">
        <v>907</v>
      </c>
      <c r="B526" t="s">
        <v>344</v>
      </c>
    </row>
    <row r="527" spans="1:2" x14ac:dyDescent="0.4">
      <c r="A527" t="s">
        <v>439</v>
      </c>
      <c r="B527" t="s">
        <v>402</v>
      </c>
    </row>
    <row r="528" spans="1:2" x14ac:dyDescent="0.4">
      <c r="A528" t="s">
        <v>565</v>
      </c>
      <c r="B528" t="s">
        <v>402</v>
      </c>
    </row>
    <row r="529" spans="1:2" x14ac:dyDescent="0.4">
      <c r="A529" t="s">
        <v>600</v>
      </c>
      <c r="B529" t="s">
        <v>472</v>
      </c>
    </row>
    <row r="530" spans="1:2" x14ac:dyDescent="0.4">
      <c r="A530" t="s">
        <v>908</v>
      </c>
      <c r="B530" t="s">
        <v>344</v>
      </c>
    </row>
    <row r="531" spans="1:2" x14ac:dyDescent="0.4">
      <c r="A531" t="s">
        <v>457</v>
      </c>
      <c r="B531" t="s">
        <v>425</v>
      </c>
    </row>
    <row r="532" spans="1:2" x14ac:dyDescent="0.4">
      <c r="A532" t="s">
        <v>909</v>
      </c>
      <c r="B532" t="s">
        <v>409</v>
      </c>
    </row>
    <row r="533" spans="1:2" x14ac:dyDescent="0.4">
      <c r="A533" t="s">
        <v>593</v>
      </c>
      <c r="B533" t="s">
        <v>349</v>
      </c>
    </row>
    <row r="534" spans="1:2" x14ac:dyDescent="0.4">
      <c r="A534" t="s">
        <v>910</v>
      </c>
      <c r="B534" t="s">
        <v>345</v>
      </c>
    </row>
    <row r="535" spans="1:2" x14ac:dyDescent="0.4">
      <c r="A535" t="s">
        <v>911</v>
      </c>
      <c r="B535" t="s">
        <v>402</v>
      </c>
    </row>
    <row r="536" spans="1:2" x14ac:dyDescent="0.4">
      <c r="A536" t="s">
        <v>628</v>
      </c>
      <c r="B536" t="s">
        <v>402</v>
      </c>
    </row>
    <row r="537" spans="1:2" x14ac:dyDescent="0.4">
      <c r="A537" t="s">
        <v>912</v>
      </c>
      <c r="B537" t="s">
        <v>643</v>
      </c>
    </row>
    <row r="538" spans="1:2" x14ac:dyDescent="0.4">
      <c r="A538" t="s">
        <v>913</v>
      </c>
      <c r="B538" t="s">
        <v>464</v>
      </c>
    </row>
    <row r="539" spans="1:2" x14ac:dyDescent="0.4">
      <c r="A539" t="s">
        <v>914</v>
      </c>
      <c r="B539" t="s">
        <v>643</v>
      </c>
    </row>
    <row r="540" spans="1:2" x14ac:dyDescent="0.4">
      <c r="A540" t="s">
        <v>915</v>
      </c>
      <c r="B540" t="s">
        <v>349</v>
      </c>
    </row>
    <row r="541" spans="1:2" x14ac:dyDescent="0.4">
      <c r="A541" t="s">
        <v>916</v>
      </c>
      <c r="B541" t="s">
        <v>917</v>
      </c>
    </row>
    <row r="542" spans="1:2" x14ac:dyDescent="0.4">
      <c r="A542" t="s">
        <v>918</v>
      </c>
      <c r="B542" t="s">
        <v>405</v>
      </c>
    </row>
    <row r="543" spans="1:2" x14ac:dyDescent="0.4">
      <c r="A543" t="s">
        <v>919</v>
      </c>
      <c r="B543" t="s">
        <v>402</v>
      </c>
    </row>
    <row r="544" spans="1:2" x14ac:dyDescent="0.4">
      <c r="A544" t="s">
        <v>920</v>
      </c>
      <c r="B544" t="s">
        <v>485</v>
      </c>
    </row>
    <row r="545" spans="1:2" x14ac:dyDescent="0.4">
      <c r="A545" t="s">
        <v>921</v>
      </c>
      <c r="B545" t="s">
        <v>475</v>
      </c>
    </row>
    <row r="546" spans="1:2" x14ac:dyDescent="0.4">
      <c r="A546" t="s">
        <v>922</v>
      </c>
      <c r="B546" t="s">
        <v>345</v>
      </c>
    </row>
    <row r="547" spans="1:2" x14ac:dyDescent="0.4">
      <c r="A547" t="s">
        <v>923</v>
      </c>
      <c r="B547" t="s">
        <v>544</v>
      </c>
    </row>
    <row r="548" spans="1:2" x14ac:dyDescent="0.4">
      <c r="A548" t="s">
        <v>924</v>
      </c>
      <c r="B548" t="s">
        <v>349</v>
      </c>
    </row>
    <row r="549" spans="1:2" x14ac:dyDescent="0.4">
      <c r="A549" t="s">
        <v>925</v>
      </c>
      <c r="B549" t="s">
        <v>402</v>
      </c>
    </row>
    <row r="550" spans="1:2" x14ac:dyDescent="0.4">
      <c r="A550" t="s">
        <v>926</v>
      </c>
      <c r="B550" t="s">
        <v>347</v>
      </c>
    </row>
    <row r="551" spans="1:2" x14ac:dyDescent="0.4">
      <c r="A551" t="s">
        <v>477</v>
      </c>
      <c r="B551" t="s">
        <v>402</v>
      </c>
    </row>
    <row r="552" spans="1:2" x14ac:dyDescent="0.4">
      <c r="A552" t="s">
        <v>927</v>
      </c>
      <c r="B552" t="s">
        <v>344</v>
      </c>
    </row>
    <row r="553" spans="1:2" x14ac:dyDescent="0.4">
      <c r="A553" t="s">
        <v>471</v>
      </c>
      <c r="B553" t="s">
        <v>472</v>
      </c>
    </row>
    <row r="554" spans="1:2" x14ac:dyDescent="0.4">
      <c r="A554" t="s">
        <v>928</v>
      </c>
      <c r="B554" t="s">
        <v>475</v>
      </c>
    </row>
    <row r="555" spans="1:2" x14ac:dyDescent="0.4">
      <c r="A555" t="s">
        <v>551</v>
      </c>
      <c r="B555" t="s">
        <v>343</v>
      </c>
    </row>
    <row r="556" spans="1:2" x14ac:dyDescent="0.4">
      <c r="A556" t="s">
        <v>929</v>
      </c>
      <c r="B556" t="s">
        <v>402</v>
      </c>
    </row>
    <row r="557" spans="1:2" x14ac:dyDescent="0.4">
      <c r="A557" t="s">
        <v>543</v>
      </c>
      <c r="B557" t="s">
        <v>544</v>
      </c>
    </row>
    <row r="558" spans="1:2" x14ac:dyDescent="0.4">
      <c r="A558" t="s">
        <v>930</v>
      </c>
      <c r="B558" t="s">
        <v>416</v>
      </c>
    </row>
    <row r="559" spans="1:2" x14ac:dyDescent="0.4">
      <c r="A559" t="s">
        <v>588</v>
      </c>
      <c r="B559" t="s">
        <v>402</v>
      </c>
    </row>
    <row r="560" spans="1:2" x14ac:dyDescent="0.4">
      <c r="A560" t="s">
        <v>931</v>
      </c>
      <c r="B560" t="s">
        <v>380</v>
      </c>
    </row>
    <row r="561" spans="1:2" x14ac:dyDescent="0.4">
      <c r="A561" t="s">
        <v>559</v>
      </c>
      <c r="B561" t="s">
        <v>344</v>
      </c>
    </row>
    <row r="562" spans="1:2" x14ac:dyDescent="0.4">
      <c r="A562" t="s">
        <v>372</v>
      </c>
      <c r="B562" t="s">
        <v>416</v>
      </c>
    </row>
    <row r="563" spans="1:2" x14ac:dyDescent="0.4">
      <c r="A563" t="s">
        <v>524</v>
      </c>
      <c r="B563" t="s">
        <v>406</v>
      </c>
    </row>
    <row r="564" spans="1:2" x14ac:dyDescent="0.4">
      <c r="A564" t="s">
        <v>932</v>
      </c>
      <c r="B564" t="s">
        <v>501</v>
      </c>
    </row>
    <row r="565" spans="1:2" x14ac:dyDescent="0.4">
      <c r="A565" t="s">
        <v>933</v>
      </c>
      <c r="B565" t="s">
        <v>406</v>
      </c>
    </row>
    <row r="566" spans="1:2" x14ac:dyDescent="0.4">
      <c r="A566" t="s">
        <v>934</v>
      </c>
      <c r="B566" t="s">
        <v>935</v>
      </c>
    </row>
    <row r="567" spans="1:2" x14ac:dyDescent="0.4">
      <c r="A567" t="s">
        <v>936</v>
      </c>
      <c r="B567" t="s">
        <v>578</v>
      </c>
    </row>
    <row r="568" spans="1:2" x14ac:dyDescent="0.4">
      <c r="A568" t="s">
        <v>937</v>
      </c>
      <c r="B568" t="s">
        <v>344</v>
      </c>
    </row>
    <row r="569" spans="1:2" x14ac:dyDescent="0.4">
      <c r="A569" t="s">
        <v>938</v>
      </c>
      <c r="B569" t="s">
        <v>416</v>
      </c>
    </row>
    <row r="570" spans="1:2" x14ac:dyDescent="0.4">
      <c r="A570" t="s">
        <v>939</v>
      </c>
      <c r="B570" t="s">
        <v>405</v>
      </c>
    </row>
    <row r="571" spans="1:2" x14ac:dyDescent="0.4">
      <c r="A571" t="s">
        <v>940</v>
      </c>
      <c r="B571" t="s">
        <v>416</v>
      </c>
    </row>
    <row r="572" spans="1:2" x14ac:dyDescent="0.4">
      <c r="A572" t="s">
        <v>941</v>
      </c>
      <c r="B572" t="s">
        <v>548</v>
      </c>
    </row>
    <row r="573" spans="1:2" x14ac:dyDescent="0.4">
      <c r="A573" t="s">
        <v>942</v>
      </c>
      <c r="B573" t="s">
        <v>402</v>
      </c>
    </row>
    <row r="574" spans="1:2" x14ac:dyDescent="0.4">
      <c r="A574" t="s">
        <v>626</v>
      </c>
      <c r="B574" t="s">
        <v>458</v>
      </c>
    </row>
    <row r="575" spans="1:2" x14ac:dyDescent="0.4">
      <c r="A575" t="s">
        <v>943</v>
      </c>
      <c r="B575" t="s">
        <v>743</v>
      </c>
    </row>
    <row r="576" spans="1:2" x14ac:dyDescent="0.4">
      <c r="A576" t="s">
        <v>944</v>
      </c>
      <c r="B576" t="s">
        <v>413</v>
      </c>
    </row>
    <row r="577" spans="1:2" x14ac:dyDescent="0.4">
      <c r="A577" t="s">
        <v>945</v>
      </c>
      <c r="B577" t="s">
        <v>479</v>
      </c>
    </row>
    <row r="578" spans="1:2" x14ac:dyDescent="0.4">
      <c r="A578" t="s">
        <v>946</v>
      </c>
      <c r="B578" t="s">
        <v>416</v>
      </c>
    </row>
    <row r="579" spans="1:2" x14ac:dyDescent="0.4">
      <c r="A579" t="s">
        <v>947</v>
      </c>
      <c r="B579" t="s">
        <v>349</v>
      </c>
    </row>
    <row r="580" spans="1:2" x14ac:dyDescent="0.4">
      <c r="A580" t="s">
        <v>948</v>
      </c>
      <c r="B580" t="s">
        <v>407</v>
      </c>
    </row>
    <row r="581" spans="1:2" x14ac:dyDescent="0.4">
      <c r="A581" t="s">
        <v>949</v>
      </c>
      <c r="B581" t="s">
        <v>773</v>
      </c>
    </row>
    <row r="582" spans="1:2" x14ac:dyDescent="0.4">
      <c r="A582" t="s">
        <v>950</v>
      </c>
      <c r="B582" t="s">
        <v>743</v>
      </c>
    </row>
    <row r="583" spans="1:2" x14ac:dyDescent="0.4">
      <c r="A583" t="s">
        <v>951</v>
      </c>
      <c r="B583" t="s">
        <v>425</v>
      </c>
    </row>
    <row r="584" spans="1:2" x14ac:dyDescent="0.4">
      <c r="A584" t="s">
        <v>441</v>
      </c>
      <c r="B584" t="s">
        <v>402</v>
      </c>
    </row>
    <row r="585" spans="1:2" x14ac:dyDescent="0.4">
      <c r="A585" t="s">
        <v>952</v>
      </c>
      <c r="B585" t="s">
        <v>953</v>
      </c>
    </row>
    <row r="586" spans="1:2" x14ac:dyDescent="0.4">
      <c r="A586" t="s">
        <v>954</v>
      </c>
      <c r="B586" t="s">
        <v>348</v>
      </c>
    </row>
    <row r="587" spans="1:2" x14ac:dyDescent="0.4">
      <c r="A587" t="s">
        <v>955</v>
      </c>
      <c r="B587" t="s">
        <v>578</v>
      </c>
    </row>
    <row r="588" spans="1:2" x14ac:dyDescent="0.4">
      <c r="A588" t="s">
        <v>956</v>
      </c>
      <c r="B588" t="s">
        <v>957</v>
      </c>
    </row>
    <row r="589" spans="1:2" x14ac:dyDescent="0.4">
      <c r="A589" t="s">
        <v>357</v>
      </c>
      <c r="B589" t="s">
        <v>402</v>
      </c>
    </row>
    <row r="590" spans="1:2" x14ac:dyDescent="0.4">
      <c r="A590" t="s">
        <v>958</v>
      </c>
      <c r="B590" t="s">
        <v>417</v>
      </c>
    </row>
    <row r="591" spans="1:2" x14ac:dyDescent="0.4">
      <c r="A591" t="s">
        <v>959</v>
      </c>
      <c r="B591" t="s">
        <v>342</v>
      </c>
    </row>
    <row r="592" spans="1:2" x14ac:dyDescent="0.4">
      <c r="A592" t="s">
        <v>960</v>
      </c>
      <c r="B592" t="s">
        <v>342</v>
      </c>
    </row>
    <row r="593" spans="1:2" x14ac:dyDescent="0.4">
      <c r="A593" t="s">
        <v>961</v>
      </c>
      <c r="B593" t="s">
        <v>380</v>
      </c>
    </row>
    <row r="594" spans="1:2" x14ac:dyDescent="0.4">
      <c r="A594" t="s">
        <v>962</v>
      </c>
      <c r="B594" t="s">
        <v>348</v>
      </c>
    </row>
    <row r="595" spans="1:2" x14ac:dyDescent="0.4">
      <c r="A595" t="s">
        <v>963</v>
      </c>
      <c r="B595" t="s">
        <v>402</v>
      </c>
    </row>
    <row r="596" spans="1:2" x14ac:dyDescent="0.4">
      <c r="A596" t="s">
        <v>964</v>
      </c>
      <c r="B596" t="s">
        <v>421</v>
      </c>
    </row>
    <row r="597" spans="1:2" x14ac:dyDescent="0.4">
      <c r="A597" t="s">
        <v>965</v>
      </c>
      <c r="B597" t="s">
        <v>413</v>
      </c>
    </row>
    <row r="598" spans="1:2" x14ac:dyDescent="0.4">
      <c r="A598" t="s">
        <v>966</v>
      </c>
      <c r="B598" t="s">
        <v>380</v>
      </c>
    </row>
    <row r="599" spans="1:2" x14ac:dyDescent="0.4">
      <c r="A599" t="s">
        <v>967</v>
      </c>
      <c r="B599" t="s">
        <v>475</v>
      </c>
    </row>
    <row r="600" spans="1:2" x14ac:dyDescent="0.4">
      <c r="A600" t="s">
        <v>968</v>
      </c>
      <c r="B600" t="s">
        <v>410</v>
      </c>
    </row>
    <row r="601" spans="1:2" x14ac:dyDescent="0.4">
      <c r="A601" t="s">
        <v>969</v>
      </c>
      <c r="B601" t="s">
        <v>475</v>
      </c>
    </row>
    <row r="602" spans="1:2" x14ac:dyDescent="0.4">
      <c r="A602" t="s">
        <v>970</v>
      </c>
      <c r="B602" t="s">
        <v>417</v>
      </c>
    </row>
    <row r="603" spans="1:2" x14ac:dyDescent="0.4">
      <c r="A603" t="s">
        <v>622</v>
      </c>
      <c r="B603" t="s">
        <v>402</v>
      </c>
    </row>
    <row r="604" spans="1:2" x14ac:dyDescent="0.4">
      <c r="A604" t="s">
        <v>971</v>
      </c>
      <c r="B604" t="s">
        <v>578</v>
      </c>
    </row>
    <row r="605" spans="1:2" x14ac:dyDescent="0.4">
      <c r="A605" t="s">
        <v>562</v>
      </c>
      <c r="B605" t="s">
        <v>402</v>
      </c>
    </row>
    <row r="606" spans="1:2" x14ac:dyDescent="0.4">
      <c r="A606" t="s">
        <v>972</v>
      </c>
      <c r="B606" t="s">
        <v>380</v>
      </c>
    </row>
    <row r="607" spans="1:2" x14ac:dyDescent="0.4">
      <c r="A607" t="s">
        <v>429</v>
      </c>
      <c r="B607" t="s">
        <v>417</v>
      </c>
    </row>
    <row r="608" spans="1:2" x14ac:dyDescent="0.4">
      <c r="A608" t="s">
        <v>973</v>
      </c>
      <c r="B608" t="s">
        <v>443</v>
      </c>
    </row>
    <row r="609" spans="1:2" x14ac:dyDescent="0.4">
      <c r="A609" t="s">
        <v>594</v>
      </c>
      <c r="B609" t="s">
        <v>345</v>
      </c>
    </row>
    <row r="610" spans="1:2" x14ac:dyDescent="0.4">
      <c r="A610" t="s">
        <v>974</v>
      </c>
      <c r="B610" t="s">
        <v>402</v>
      </c>
    </row>
    <row r="611" spans="1:2" x14ac:dyDescent="0.4">
      <c r="A611" t="s">
        <v>975</v>
      </c>
      <c r="B611" t="s">
        <v>344</v>
      </c>
    </row>
    <row r="612" spans="1:2" x14ac:dyDescent="0.4">
      <c r="A612" t="s">
        <v>976</v>
      </c>
      <c r="B612" t="s">
        <v>421</v>
      </c>
    </row>
    <row r="613" spans="1:2" x14ac:dyDescent="0.4">
      <c r="A613" t="s">
        <v>977</v>
      </c>
      <c r="B613" t="s">
        <v>475</v>
      </c>
    </row>
    <row r="614" spans="1:2" x14ac:dyDescent="0.4">
      <c r="A614" t="s">
        <v>978</v>
      </c>
      <c r="B614" t="s">
        <v>344</v>
      </c>
    </row>
    <row r="615" spans="1:2" x14ac:dyDescent="0.4">
      <c r="A615" t="s">
        <v>979</v>
      </c>
      <c r="B615" t="s">
        <v>980</v>
      </c>
    </row>
    <row r="616" spans="1:2" x14ac:dyDescent="0.4">
      <c r="A616" t="s">
        <v>556</v>
      </c>
      <c r="B616" t="s">
        <v>402</v>
      </c>
    </row>
    <row r="617" spans="1:2" x14ac:dyDescent="0.4">
      <c r="A617" t="s">
        <v>981</v>
      </c>
      <c r="B617" t="s">
        <v>475</v>
      </c>
    </row>
    <row r="618" spans="1:2" x14ac:dyDescent="0.4">
      <c r="A618" t="s">
        <v>982</v>
      </c>
      <c r="B618" t="s">
        <v>407</v>
      </c>
    </row>
    <row r="619" spans="1:2" x14ac:dyDescent="0.4">
      <c r="A619" t="s">
        <v>983</v>
      </c>
      <c r="B619" t="s">
        <v>344</v>
      </c>
    </row>
    <row r="620" spans="1:2" x14ac:dyDescent="0.4">
      <c r="A620" t="s">
        <v>984</v>
      </c>
      <c r="B620" t="s">
        <v>349</v>
      </c>
    </row>
    <row r="621" spans="1:2" x14ac:dyDescent="0.4">
      <c r="A621" t="s">
        <v>985</v>
      </c>
      <c r="B621" t="s">
        <v>406</v>
      </c>
    </row>
    <row r="622" spans="1:2" x14ac:dyDescent="0.4">
      <c r="A622" t="s">
        <v>986</v>
      </c>
      <c r="B622" t="s">
        <v>464</v>
      </c>
    </row>
    <row r="623" spans="1:2" x14ac:dyDescent="0.4">
      <c r="A623" t="s">
        <v>987</v>
      </c>
      <c r="B623" t="s">
        <v>405</v>
      </c>
    </row>
    <row r="624" spans="1:2" x14ac:dyDescent="0.4">
      <c r="A624" t="s">
        <v>988</v>
      </c>
      <c r="B624" t="s">
        <v>643</v>
      </c>
    </row>
    <row r="625" spans="1:2" x14ac:dyDescent="0.4">
      <c r="A625" t="s">
        <v>989</v>
      </c>
      <c r="B625" t="s">
        <v>347</v>
      </c>
    </row>
    <row r="626" spans="1:2" x14ac:dyDescent="0.4">
      <c r="A626" t="s">
        <v>990</v>
      </c>
      <c r="B626" t="s">
        <v>455</v>
      </c>
    </row>
    <row r="627" spans="1:2" x14ac:dyDescent="0.4">
      <c r="A627" t="s">
        <v>991</v>
      </c>
      <c r="B627" t="s">
        <v>402</v>
      </c>
    </row>
    <row r="628" spans="1:2" x14ac:dyDescent="0.4">
      <c r="A628" t="s">
        <v>992</v>
      </c>
      <c r="B628" t="s">
        <v>425</v>
      </c>
    </row>
    <row r="629" spans="1:2" x14ac:dyDescent="0.4">
      <c r="A629" t="s">
        <v>993</v>
      </c>
      <c r="B629" t="s">
        <v>402</v>
      </c>
    </row>
    <row r="630" spans="1:2" x14ac:dyDescent="0.4">
      <c r="A630" t="s">
        <v>534</v>
      </c>
      <c r="B630" t="s">
        <v>458</v>
      </c>
    </row>
    <row r="631" spans="1:2" x14ac:dyDescent="0.4">
      <c r="A631" t="s">
        <v>994</v>
      </c>
      <c r="B631" t="s">
        <v>545</v>
      </c>
    </row>
    <row r="632" spans="1:2" x14ac:dyDescent="0.4">
      <c r="A632" t="s">
        <v>995</v>
      </c>
      <c r="B632" t="s">
        <v>402</v>
      </c>
    </row>
    <row r="633" spans="1:2" x14ac:dyDescent="0.4">
      <c r="A633" t="s">
        <v>996</v>
      </c>
      <c r="B633" t="s">
        <v>417</v>
      </c>
    </row>
    <row r="634" spans="1:2" x14ac:dyDescent="0.4">
      <c r="A634" t="s">
        <v>997</v>
      </c>
      <c r="B634" t="s">
        <v>425</v>
      </c>
    </row>
    <row r="635" spans="1:2" x14ac:dyDescent="0.4">
      <c r="A635" t="s">
        <v>998</v>
      </c>
      <c r="B635" t="s">
        <v>596</v>
      </c>
    </row>
    <row r="636" spans="1:2" x14ac:dyDescent="0.4">
      <c r="A636" t="s">
        <v>999</v>
      </c>
      <c r="B636" t="s">
        <v>402</v>
      </c>
    </row>
    <row r="637" spans="1:2" x14ac:dyDescent="0.4">
      <c r="A637" t="s">
        <v>1000</v>
      </c>
      <c r="B637" t="s">
        <v>497</v>
      </c>
    </row>
    <row r="638" spans="1:2" x14ac:dyDescent="0.4">
      <c r="A638" t="s">
        <v>1001</v>
      </c>
      <c r="B638" t="s">
        <v>349</v>
      </c>
    </row>
    <row r="639" spans="1:2" x14ac:dyDescent="0.4">
      <c r="A639" t="s">
        <v>1002</v>
      </c>
      <c r="B639" t="s">
        <v>344</v>
      </c>
    </row>
    <row r="640" spans="1:2" x14ac:dyDescent="0.4">
      <c r="A640" t="s">
        <v>1003</v>
      </c>
      <c r="B640" t="s">
        <v>475</v>
      </c>
    </row>
    <row r="641" spans="1:2" x14ac:dyDescent="0.4">
      <c r="A641" t="s">
        <v>1004</v>
      </c>
      <c r="B641" t="s">
        <v>348</v>
      </c>
    </row>
    <row r="642" spans="1:2" x14ac:dyDescent="0.4">
      <c r="A642" t="s">
        <v>1005</v>
      </c>
      <c r="B642" t="s">
        <v>425</v>
      </c>
    </row>
    <row r="643" spans="1:2" x14ac:dyDescent="0.4">
      <c r="A643" t="s">
        <v>1006</v>
      </c>
      <c r="B643" t="s">
        <v>479</v>
      </c>
    </row>
    <row r="644" spans="1:2" x14ac:dyDescent="0.4">
      <c r="A644" t="s">
        <v>1007</v>
      </c>
      <c r="B644" t="s">
        <v>346</v>
      </c>
    </row>
    <row r="645" spans="1:2" x14ac:dyDescent="0.4">
      <c r="A645" t="s">
        <v>1008</v>
      </c>
      <c r="B645" t="s">
        <v>443</v>
      </c>
    </row>
    <row r="646" spans="1:2" x14ac:dyDescent="0.4">
      <c r="A646" t="s">
        <v>1009</v>
      </c>
      <c r="B646" t="s">
        <v>406</v>
      </c>
    </row>
    <row r="647" spans="1:2" x14ac:dyDescent="0.4">
      <c r="A647" t="s">
        <v>1010</v>
      </c>
      <c r="B647" t="s">
        <v>345</v>
      </c>
    </row>
    <row r="648" spans="1:2" x14ac:dyDescent="0.4">
      <c r="A648" t="s">
        <v>1011</v>
      </c>
      <c r="B648" t="s">
        <v>344</v>
      </c>
    </row>
    <row r="649" spans="1:2" x14ac:dyDescent="0.4">
      <c r="A649" t="s">
        <v>1012</v>
      </c>
      <c r="B649" t="s">
        <v>347</v>
      </c>
    </row>
    <row r="650" spans="1:2" x14ac:dyDescent="0.4">
      <c r="A650" t="s">
        <v>1013</v>
      </c>
      <c r="B650" t="s">
        <v>643</v>
      </c>
    </row>
    <row r="651" spans="1:2" x14ac:dyDescent="0.4">
      <c r="A651" t="s">
        <v>1014</v>
      </c>
      <c r="B651" t="s">
        <v>414</v>
      </c>
    </row>
    <row r="652" spans="1:2" x14ac:dyDescent="0.4">
      <c r="A652" t="s">
        <v>1015</v>
      </c>
      <c r="B652" t="s">
        <v>421</v>
      </c>
    </row>
    <row r="653" spans="1:2" x14ac:dyDescent="0.4">
      <c r="A653" t="s">
        <v>1016</v>
      </c>
      <c r="B653" t="s">
        <v>408</v>
      </c>
    </row>
    <row r="654" spans="1:2" x14ac:dyDescent="0.4">
      <c r="A654" t="s">
        <v>1017</v>
      </c>
      <c r="B654" t="s">
        <v>519</v>
      </c>
    </row>
    <row r="655" spans="1:2" x14ac:dyDescent="0.4">
      <c r="A655" t="s">
        <v>1018</v>
      </c>
      <c r="B655" t="s">
        <v>345</v>
      </c>
    </row>
    <row r="656" spans="1:2" x14ac:dyDescent="0.4">
      <c r="A656" t="s">
        <v>1019</v>
      </c>
      <c r="B656" t="s">
        <v>405</v>
      </c>
    </row>
    <row r="657" spans="1:2" x14ac:dyDescent="0.4">
      <c r="A657" t="s">
        <v>569</v>
      </c>
      <c r="B657" t="s">
        <v>490</v>
      </c>
    </row>
    <row r="658" spans="1:2" x14ac:dyDescent="0.4">
      <c r="A658" t="s">
        <v>1020</v>
      </c>
      <c r="B658" t="s">
        <v>406</v>
      </c>
    </row>
    <row r="659" spans="1:2" x14ac:dyDescent="0.4">
      <c r="A659" t="s">
        <v>1021</v>
      </c>
      <c r="B659" t="s">
        <v>342</v>
      </c>
    </row>
    <row r="660" spans="1:2" x14ac:dyDescent="0.4">
      <c r="A660" t="s">
        <v>1022</v>
      </c>
      <c r="B660" t="s">
        <v>544</v>
      </c>
    </row>
    <row r="661" spans="1:2" x14ac:dyDescent="0.4">
      <c r="A661" t="s">
        <v>1023</v>
      </c>
      <c r="B661" t="s">
        <v>402</v>
      </c>
    </row>
    <row r="662" spans="1:2" x14ac:dyDescent="0.4">
      <c r="A662" t="s">
        <v>1024</v>
      </c>
      <c r="B662" t="s">
        <v>460</v>
      </c>
    </row>
    <row r="663" spans="1:2" x14ac:dyDescent="0.4">
      <c r="A663" t="s">
        <v>563</v>
      </c>
      <c r="B663" t="s">
        <v>345</v>
      </c>
    </row>
    <row r="664" spans="1:2" x14ac:dyDescent="0.4">
      <c r="A664" t="s">
        <v>602</v>
      </c>
      <c r="B664" t="s">
        <v>344</v>
      </c>
    </row>
    <row r="665" spans="1:2" x14ac:dyDescent="0.4">
      <c r="A665" t="s">
        <v>1025</v>
      </c>
      <c r="B665" t="s">
        <v>347</v>
      </c>
    </row>
    <row r="666" spans="1:2" x14ac:dyDescent="0.4">
      <c r="A666" t="s">
        <v>1026</v>
      </c>
      <c r="B666" t="s">
        <v>544</v>
      </c>
    </row>
    <row r="667" spans="1:2" x14ac:dyDescent="0.4">
      <c r="A667" t="s">
        <v>1027</v>
      </c>
      <c r="B667" t="s">
        <v>416</v>
      </c>
    </row>
    <row r="668" spans="1:2" x14ac:dyDescent="0.4">
      <c r="A668" t="s">
        <v>1028</v>
      </c>
      <c r="B668" t="s">
        <v>416</v>
      </c>
    </row>
    <row r="669" spans="1:2" x14ac:dyDescent="0.4">
      <c r="A669" t="s">
        <v>1029</v>
      </c>
      <c r="B669" t="s">
        <v>402</v>
      </c>
    </row>
    <row r="670" spans="1:2" x14ac:dyDescent="0.4">
      <c r="A670" t="s">
        <v>1030</v>
      </c>
      <c r="B670" t="s">
        <v>416</v>
      </c>
    </row>
    <row r="671" spans="1:2" x14ac:dyDescent="0.4">
      <c r="A671" t="s">
        <v>1031</v>
      </c>
      <c r="B671" t="s">
        <v>417</v>
      </c>
    </row>
    <row r="672" spans="1:2" x14ac:dyDescent="0.4">
      <c r="A672" t="s">
        <v>1032</v>
      </c>
      <c r="B672" t="s">
        <v>408</v>
      </c>
    </row>
    <row r="673" spans="1:2" x14ac:dyDescent="0.4">
      <c r="A673" t="s">
        <v>1033</v>
      </c>
      <c r="B673" t="s">
        <v>402</v>
      </c>
    </row>
    <row r="674" spans="1:2" x14ac:dyDescent="0.4">
      <c r="A674" t="s">
        <v>1034</v>
      </c>
      <c r="B674" t="s">
        <v>479</v>
      </c>
    </row>
    <row r="675" spans="1:2" x14ac:dyDescent="0.4">
      <c r="A675" t="s">
        <v>1035</v>
      </c>
      <c r="B675" t="s">
        <v>405</v>
      </c>
    </row>
    <row r="676" spans="1:2" x14ac:dyDescent="0.4">
      <c r="A676" t="s">
        <v>1036</v>
      </c>
      <c r="B676" t="s">
        <v>402</v>
      </c>
    </row>
    <row r="677" spans="1:2" x14ac:dyDescent="0.4">
      <c r="A677" t="s">
        <v>1037</v>
      </c>
      <c r="B677" t="s">
        <v>349</v>
      </c>
    </row>
    <row r="678" spans="1:2" x14ac:dyDescent="0.4">
      <c r="A678" t="s">
        <v>1038</v>
      </c>
      <c r="B678" t="s">
        <v>464</v>
      </c>
    </row>
    <row r="679" spans="1:2" x14ac:dyDescent="0.4">
      <c r="A679" t="s">
        <v>629</v>
      </c>
      <c r="B679" t="s">
        <v>416</v>
      </c>
    </row>
    <row r="680" spans="1:2" x14ac:dyDescent="0.4">
      <c r="A680" t="s">
        <v>1039</v>
      </c>
      <c r="B680" t="s">
        <v>380</v>
      </c>
    </row>
    <row r="681" spans="1:2" x14ac:dyDescent="0.4">
      <c r="A681" t="s">
        <v>1040</v>
      </c>
      <c r="B681" t="s">
        <v>460</v>
      </c>
    </row>
    <row r="682" spans="1:2" x14ac:dyDescent="0.4">
      <c r="A682" t="s">
        <v>469</v>
      </c>
      <c r="B682" t="s">
        <v>406</v>
      </c>
    </row>
    <row r="683" spans="1:2" x14ac:dyDescent="0.4">
      <c r="A683" t="s">
        <v>1041</v>
      </c>
      <c r="B683" t="s">
        <v>405</v>
      </c>
    </row>
    <row r="684" spans="1:2" x14ac:dyDescent="0.4">
      <c r="A684" t="s">
        <v>481</v>
      </c>
      <c r="B684" t="s">
        <v>343</v>
      </c>
    </row>
    <row r="685" spans="1:2" x14ac:dyDescent="0.4">
      <c r="A685" t="s">
        <v>1042</v>
      </c>
      <c r="B685" t="s">
        <v>455</v>
      </c>
    </row>
    <row r="686" spans="1:2" x14ac:dyDescent="0.4">
      <c r="A686" t="s">
        <v>1043</v>
      </c>
      <c r="B686" t="s">
        <v>1044</v>
      </c>
    </row>
    <row r="687" spans="1:2" x14ac:dyDescent="0.4">
      <c r="A687" t="s">
        <v>1045</v>
      </c>
      <c r="B687" t="s">
        <v>872</v>
      </c>
    </row>
    <row r="688" spans="1:2" x14ac:dyDescent="0.4">
      <c r="A688" t="s">
        <v>1046</v>
      </c>
      <c r="B688" t="s">
        <v>405</v>
      </c>
    </row>
    <row r="689" spans="1:2" x14ac:dyDescent="0.4">
      <c r="A689" t="s">
        <v>1047</v>
      </c>
      <c r="B689" t="s">
        <v>843</v>
      </c>
    </row>
    <row r="690" spans="1:2" x14ac:dyDescent="0.4">
      <c r="A690" t="s">
        <v>1048</v>
      </c>
      <c r="B690" t="s">
        <v>1049</v>
      </c>
    </row>
    <row r="691" spans="1:2" x14ac:dyDescent="0.4">
      <c r="A691" t="s">
        <v>1050</v>
      </c>
      <c r="B691" t="s">
        <v>421</v>
      </c>
    </row>
    <row r="692" spans="1:2" x14ac:dyDescent="0.4">
      <c r="A692" t="s">
        <v>1051</v>
      </c>
      <c r="B692" t="s">
        <v>342</v>
      </c>
    </row>
    <row r="693" spans="1:2" x14ac:dyDescent="0.4">
      <c r="A693" t="s">
        <v>1052</v>
      </c>
      <c r="B693" t="s">
        <v>1053</v>
      </c>
    </row>
    <row r="694" spans="1:2" x14ac:dyDescent="0.4">
      <c r="A694" t="s">
        <v>1054</v>
      </c>
      <c r="B694" t="s">
        <v>413</v>
      </c>
    </row>
    <row r="695" spans="1:2" x14ac:dyDescent="0.4">
      <c r="A695" t="s">
        <v>1055</v>
      </c>
      <c r="B695" t="s">
        <v>349</v>
      </c>
    </row>
    <row r="696" spans="1:2" x14ac:dyDescent="0.4">
      <c r="A696" t="s">
        <v>1056</v>
      </c>
      <c r="B696" t="s">
        <v>416</v>
      </c>
    </row>
    <row r="697" spans="1:2" x14ac:dyDescent="0.4">
      <c r="A697" t="s">
        <v>1057</v>
      </c>
      <c r="B697" t="s">
        <v>402</v>
      </c>
    </row>
    <row r="698" spans="1:2" x14ac:dyDescent="0.4">
      <c r="A698" t="s">
        <v>1058</v>
      </c>
      <c r="B698" t="s">
        <v>416</v>
      </c>
    </row>
    <row r="699" spans="1:2" x14ac:dyDescent="0.4">
      <c r="A699" t="s">
        <v>1059</v>
      </c>
      <c r="B699" t="s">
        <v>349</v>
      </c>
    </row>
    <row r="700" spans="1:2" x14ac:dyDescent="0.4">
      <c r="A700" t="s">
        <v>575</v>
      </c>
      <c r="B700" t="s">
        <v>458</v>
      </c>
    </row>
    <row r="701" spans="1:2" x14ac:dyDescent="0.4">
      <c r="A701" t="s">
        <v>1060</v>
      </c>
      <c r="B701" t="s">
        <v>405</v>
      </c>
    </row>
    <row r="702" spans="1:2" x14ac:dyDescent="0.4">
      <c r="A702" t="s">
        <v>1061</v>
      </c>
      <c r="B702" t="s">
        <v>545</v>
      </c>
    </row>
    <row r="703" spans="1:2" x14ac:dyDescent="0.4">
      <c r="A703" t="s">
        <v>1062</v>
      </c>
      <c r="B703" t="s">
        <v>343</v>
      </c>
    </row>
    <row r="704" spans="1:2" x14ac:dyDescent="0.4">
      <c r="A704" t="s">
        <v>1063</v>
      </c>
      <c r="B704" t="s">
        <v>425</v>
      </c>
    </row>
    <row r="705" spans="1:2" x14ac:dyDescent="0.4">
      <c r="A705" t="s">
        <v>1064</v>
      </c>
      <c r="B705" t="s">
        <v>408</v>
      </c>
    </row>
    <row r="706" spans="1:2" x14ac:dyDescent="0.4">
      <c r="A706" t="s">
        <v>584</v>
      </c>
      <c r="B706" t="s">
        <v>402</v>
      </c>
    </row>
    <row r="707" spans="1:2" x14ac:dyDescent="0.4">
      <c r="A707" t="s">
        <v>1065</v>
      </c>
      <c r="B707" t="s">
        <v>406</v>
      </c>
    </row>
    <row r="708" spans="1:2" x14ac:dyDescent="0.4">
      <c r="A708" t="s">
        <v>1066</v>
      </c>
      <c r="B708" t="s">
        <v>472</v>
      </c>
    </row>
    <row r="709" spans="1:2" x14ac:dyDescent="0.4">
      <c r="A709" t="s">
        <v>1067</v>
      </c>
      <c r="B709" t="s">
        <v>409</v>
      </c>
    </row>
    <row r="710" spans="1:2" x14ac:dyDescent="0.4">
      <c r="A710" t="s">
        <v>1068</v>
      </c>
      <c r="B710" t="s">
        <v>405</v>
      </c>
    </row>
    <row r="711" spans="1:2" x14ac:dyDescent="0.4">
      <c r="A711" t="s">
        <v>1069</v>
      </c>
      <c r="B711" t="s">
        <v>743</v>
      </c>
    </row>
    <row r="712" spans="1:2" x14ac:dyDescent="0.4">
      <c r="A712" t="s">
        <v>1070</v>
      </c>
      <c r="B712" t="s">
        <v>411</v>
      </c>
    </row>
    <row r="713" spans="1:2" x14ac:dyDescent="0.4">
      <c r="A713" t="s">
        <v>1071</v>
      </c>
      <c r="B713" t="s">
        <v>402</v>
      </c>
    </row>
    <row r="714" spans="1:2" x14ac:dyDescent="0.4">
      <c r="A714" t="s">
        <v>1072</v>
      </c>
      <c r="B714" t="s">
        <v>1073</v>
      </c>
    </row>
    <row r="715" spans="1:2" x14ac:dyDescent="0.4">
      <c r="A715" t="s">
        <v>1074</v>
      </c>
      <c r="B715" t="s">
        <v>417</v>
      </c>
    </row>
    <row r="716" spans="1:2" x14ac:dyDescent="0.4">
      <c r="A716" t="s">
        <v>1075</v>
      </c>
      <c r="B716" t="s">
        <v>578</v>
      </c>
    </row>
    <row r="717" spans="1:2" x14ac:dyDescent="0.4">
      <c r="A717" t="s">
        <v>1076</v>
      </c>
      <c r="B717" t="s">
        <v>402</v>
      </c>
    </row>
    <row r="718" spans="1:2" x14ac:dyDescent="0.4">
      <c r="A718" t="s">
        <v>598</v>
      </c>
      <c r="B718" t="s">
        <v>344</v>
      </c>
    </row>
    <row r="719" spans="1:2" x14ac:dyDescent="0.4">
      <c r="A719" t="s">
        <v>1077</v>
      </c>
      <c r="B719" t="s">
        <v>548</v>
      </c>
    </row>
    <row r="720" spans="1:2" x14ac:dyDescent="0.4">
      <c r="A720" t="s">
        <v>1078</v>
      </c>
      <c r="B720" t="s">
        <v>421</v>
      </c>
    </row>
    <row r="721" spans="1:2" x14ac:dyDescent="0.4">
      <c r="A721" t="s">
        <v>1079</v>
      </c>
      <c r="B721" t="s">
        <v>349</v>
      </c>
    </row>
    <row r="722" spans="1:2" x14ac:dyDescent="0.4">
      <c r="A722" t="s">
        <v>1080</v>
      </c>
      <c r="B722" t="s">
        <v>347</v>
      </c>
    </row>
    <row r="723" spans="1:2" x14ac:dyDescent="0.4">
      <c r="A723" t="s">
        <v>1081</v>
      </c>
      <c r="B723" t="s">
        <v>349</v>
      </c>
    </row>
    <row r="724" spans="1:2" x14ac:dyDescent="0.4">
      <c r="A724" t="s">
        <v>1082</v>
      </c>
      <c r="B724" t="s">
        <v>342</v>
      </c>
    </row>
    <row r="725" spans="1:2" x14ac:dyDescent="0.4">
      <c r="A725" t="s">
        <v>1083</v>
      </c>
      <c r="B725" t="s">
        <v>402</v>
      </c>
    </row>
    <row r="726" spans="1:2" x14ac:dyDescent="0.4">
      <c r="A726" t="s">
        <v>1084</v>
      </c>
      <c r="B726" t="s">
        <v>421</v>
      </c>
    </row>
    <row r="727" spans="1:2" x14ac:dyDescent="0.4">
      <c r="A727" t="s">
        <v>1085</v>
      </c>
      <c r="B727" t="s">
        <v>859</v>
      </c>
    </row>
    <row r="728" spans="1:2" x14ac:dyDescent="0.4">
      <c r="A728" t="s">
        <v>1086</v>
      </c>
      <c r="B728" t="s">
        <v>544</v>
      </c>
    </row>
    <row r="729" spans="1:2" x14ac:dyDescent="0.4">
      <c r="A729" t="s">
        <v>1087</v>
      </c>
      <c r="B729" t="s">
        <v>643</v>
      </c>
    </row>
    <row r="730" spans="1:2" x14ac:dyDescent="0.4">
      <c r="A730" t="s">
        <v>549</v>
      </c>
      <c r="B730" t="s">
        <v>550</v>
      </c>
    </row>
    <row r="731" spans="1:2" x14ac:dyDescent="0.4">
      <c r="A731" t="s">
        <v>1088</v>
      </c>
      <c r="B731" t="s">
        <v>402</v>
      </c>
    </row>
    <row r="732" spans="1:2" x14ac:dyDescent="0.4">
      <c r="A732" t="s">
        <v>1089</v>
      </c>
      <c r="B732" t="s">
        <v>402</v>
      </c>
    </row>
    <row r="733" spans="1:2" x14ac:dyDescent="0.4">
      <c r="A733" t="s">
        <v>1090</v>
      </c>
      <c r="B733" t="s">
        <v>596</v>
      </c>
    </row>
    <row r="734" spans="1:2" x14ac:dyDescent="0.4">
      <c r="A734" t="s">
        <v>1091</v>
      </c>
      <c r="B734" t="s">
        <v>344</v>
      </c>
    </row>
    <row r="735" spans="1:2" x14ac:dyDescent="0.4">
      <c r="A735" t="s">
        <v>1092</v>
      </c>
      <c r="B735" t="s">
        <v>545</v>
      </c>
    </row>
    <row r="736" spans="1:2" x14ac:dyDescent="0.4">
      <c r="A736" t="s">
        <v>1093</v>
      </c>
      <c r="B736" t="s">
        <v>421</v>
      </c>
    </row>
    <row r="737" spans="1:2" x14ac:dyDescent="0.4">
      <c r="A737" t="s">
        <v>1094</v>
      </c>
      <c r="B737" t="s">
        <v>416</v>
      </c>
    </row>
    <row r="738" spans="1:2" x14ac:dyDescent="0.4">
      <c r="A738" t="s">
        <v>1095</v>
      </c>
      <c r="B738" t="s">
        <v>643</v>
      </c>
    </row>
    <row r="739" spans="1:2" x14ac:dyDescent="0.4">
      <c r="A739" t="s">
        <v>1096</v>
      </c>
      <c r="B739" t="s">
        <v>475</v>
      </c>
    </row>
    <row r="740" spans="1:2" x14ac:dyDescent="0.4">
      <c r="A740" t="s">
        <v>1097</v>
      </c>
      <c r="B740" t="s">
        <v>1098</v>
      </c>
    </row>
    <row r="741" spans="1:2" x14ac:dyDescent="0.4">
      <c r="A741" t="s">
        <v>1099</v>
      </c>
      <c r="B741" t="s">
        <v>402</v>
      </c>
    </row>
    <row r="742" spans="1:2" x14ac:dyDescent="0.4">
      <c r="A742" t="s">
        <v>1100</v>
      </c>
      <c r="B742" t="s">
        <v>1101</v>
      </c>
    </row>
    <row r="743" spans="1:2" x14ac:dyDescent="0.4">
      <c r="A743" t="s">
        <v>1102</v>
      </c>
      <c r="B743" t="s">
        <v>1103</v>
      </c>
    </row>
    <row r="744" spans="1:2" x14ac:dyDescent="0.4">
      <c r="A744" t="s">
        <v>1104</v>
      </c>
      <c r="B744" t="s">
        <v>458</v>
      </c>
    </row>
    <row r="745" spans="1:2" x14ac:dyDescent="0.4">
      <c r="A745" t="s">
        <v>525</v>
      </c>
      <c r="B745" t="s">
        <v>344</v>
      </c>
    </row>
    <row r="746" spans="1:2" x14ac:dyDescent="0.4">
      <c r="A746" t="s">
        <v>1105</v>
      </c>
      <c r="B746" t="s">
        <v>466</v>
      </c>
    </row>
    <row r="747" spans="1:2" x14ac:dyDescent="0.4">
      <c r="A747" t="s">
        <v>1106</v>
      </c>
      <c r="B747" t="s">
        <v>402</v>
      </c>
    </row>
    <row r="748" spans="1:2" x14ac:dyDescent="0.4">
      <c r="A748" t="s">
        <v>1107</v>
      </c>
      <c r="B748" t="s">
        <v>615</v>
      </c>
    </row>
    <row r="749" spans="1:2" x14ac:dyDescent="0.4">
      <c r="A749" t="s">
        <v>1108</v>
      </c>
      <c r="B749" t="s">
        <v>421</v>
      </c>
    </row>
    <row r="750" spans="1:2" x14ac:dyDescent="0.4">
      <c r="A750" t="s">
        <v>1109</v>
      </c>
      <c r="B750" t="s">
        <v>743</v>
      </c>
    </row>
    <row r="751" spans="1:2" x14ac:dyDescent="0.4">
      <c r="A751" t="s">
        <v>432</v>
      </c>
      <c r="B751" t="s">
        <v>402</v>
      </c>
    </row>
    <row r="752" spans="1:2" x14ac:dyDescent="0.4">
      <c r="A752" t="s">
        <v>1110</v>
      </c>
      <c r="B752" t="s">
        <v>406</v>
      </c>
    </row>
    <row r="753" spans="1:2" x14ac:dyDescent="0.4">
      <c r="A753" t="s">
        <v>1111</v>
      </c>
      <c r="B753" t="s">
        <v>1112</v>
      </c>
    </row>
    <row r="754" spans="1:2" x14ac:dyDescent="0.4">
      <c r="A754" t="s">
        <v>1113</v>
      </c>
      <c r="B754" t="s">
        <v>1114</v>
      </c>
    </row>
    <row r="755" spans="1:2" x14ac:dyDescent="0.4">
      <c r="A755" t="s">
        <v>1115</v>
      </c>
      <c r="B755" t="s">
        <v>345</v>
      </c>
    </row>
    <row r="756" spans="1:2" x14ac:dyDescent="0.4">
      <c r="A756" t="s">
        <v>1116</v>
      </c>
      <c r="B756" t="s">
        <v>578</v>
      </c>
    </row>
    <row r="757" spans="1:2" x14ac:dyDescent="0.4">
      <c r="A757" t="s">
        <v>1117</v>
      </c>
      <c r="B757" t="s">
        <v>348</v>
      </c>
    </row>
    <row r="758" spans="1:2" x14ac:dyDescent="0.4">
      <c r="A758" t="s">
        <v>1118</v>
      </c>
      <c r="B758" t="s">
        <v>615</v>
      </c>
    </row>
    <row r="759" spans="1:2" x14ac:dyDescent="0.4">
      <c r="A759" t="s">
        <v>1119</v>
      </c>
      <c r="B759" t="s">
        <v>349</v>
      </c>
    </row>
    <row r="760" spans="1:2" x14ac:dyDescent="0.4">
      <c r="A760" t="s">
        <v>1120</v>
      </c>
      <c r="B760" t="s">
        <v>342</v>
      </c>
    </row>
    <row r="761" spans="1:2" x14ac:dyDescent="0.4">
      <c r="A761" t="s">
        <v>1121</v>
      </c>
      <c r="B761" t="s">
        <v>402</v>
      </c>
    </row>
    <row r="762" spans="1:2" x14ac:dyDescent="0.4">
      <c r="A762" t="s">
        <v>1122</v>
      </c>
      <c r="B762" t="s">
        <v>402</v>
      </c>
    </row>
    <row r="763" spans="1:2" x14ac:dyDescent="0.4">
      <c r="A763" t="s">
        <v>1123</v>
      </c>
      <c r="B763" t="s">
        <v>345</v>
      </c>
    </row>
    <row r="764" spans="1:2" x14ac:dyDescent="0.4">
      <c r="A764" t="s">
        <v>1124</v>
      </c>
      <c r="B764" t="s">
        <v>612</v>
      </c>
    </row>
    <row r="765" spans="1:2" x14ac:dyDescent="0.4">
      <c r="A765" t="s">
        <v>589</v>
      </c>
      <c r="B765" t="s">
        <v>590</v>
      </c>
    </row>
    <row r="766" spans="1:2" x14ac:dyDescent="0.4">
      <c r="A766" t="s">
        <v>1125</v>
      </c>
      <c r="B766" t="s">
        <v>957</v>
      </c>
    </row>
    <row r="767" spans="1:2" x14ac:dyDescent="0.4">
      <c r="A767" t="s">
        <v>1126</v>
      </c>
      <c r="B767" t="s">
        <v>479</v>
      </c>
    </row>
    <row r="768" spans="1:2" x14ac:dyDescent="0.4">
      <c r="A768" t="s">
        <v>1127</v>
      </c>
      <c r="B768" t="s">
        <v>544</v>
      </c>
    </row>
    <row r="769" spans="1:2" x14ac:dyDescent="0.4">
      <c r="A769" t="s">
        <v>1128</v>
      </c>
      <c r="B769" t="s">
        <v>416</v>
      </c>
    </row>
    <row r="770" spans="1:2" x14ac:dyDescent="0.4">
      <c r="A770" t="s">
        <v>1129</v>
      </c>
      <c r="B770" t="s">
        <v>545</v>
      </c>
    </row>
    <row r="771" spans="1:2" x14ac:dyDescent="0.4">
      <c r="A771" t="s">
        <v>1130</v>
      </c>
      <c r="B771" t="s">
        <v>417</v>
      </c>
    </row>
    <row r="772" spans="1:2" x14ac:dyDescent="0.4">
      <c r="A772" t="s">
        <v>1131</v>
      </c>
      <c r="B772" t="s">
        <v>402</v>
      </c>
    </row>
    <row r="773" spans="1:2" x14ac:dyDescent="0.4">
      <c r="A773" t="s">
        <v>1132</v>
      </c>
      <c r="B773" t="s">
        <v>1133</v>
      </c>
    </row>
    <row r="774" spans="1:2" x14ac:dyDescent="0.4">
      <c r="A774" t="s">
        <v>609</v>
      </c>
      <c r="B774" t="s">
        <v>610</v>
      </c>
    </row>
    <row r="775" spans="1:2" x14ac:dyDescent="0.4">
      <c r="A775" t="s">
        <v>592</v>
      </c>
      <c r="B775" t="s">
        <v>590</v>
      </c>
    </row>
    <row r="776" spans="1:2" x14ac:dyDescent="0.4">
      <c r="A776" t="s">
        <v>1134</v>
      </c>
      <c r="B776" t="s">
        <v>751</v>
      </c>
    </row>
    <row r="777" spans="1:2" x14ac:dyDescent="0.4">
      <c r="A777" t="s">
        <v>1135</v>
      </c>
      <c r="B777" t="s">
        <v>872</v>
      </c>
    </row>
    <row r="778" spans="1:2" x14ac:dyDescent="0.4">
      <c r="A778" t="s">
        <v>1136</v>
      </c>
      <c r="B778" t="s">
        <v>464</v>
      </c>
    </row>
    <row r="779" spans="1:2" x14ac:dyDescent="0.4">
      <c r="A779" t="s">
        <v>1137</v>
      </c>
      <c r="B779" t="s">
        <v>349</v>
      </c>
    </row>
    <row r="780" spans="1:2" x14ac:dyDescent="0.4">
      <c r="A780" t="s">
        <v>1138</v>
      </c>
      <c r="B780" t="s">
        <v>425</v>
      </c>
    </row>
    <row r="781" spans="1:2" x14ac:dyDescent="0.4">
      <c r="A781" t="s">
        <v>1139</v>
      </c>
      <c r="B781" t="s">
        <v>402</v>
      </c>
    </row>
    <row r="782" spans="1:2" x14ac:dyDescent="0.4">
      <c r="A782" t="s">
        <v>1140</v>
      </c>
      <c r="B782" t="s">
        <v>416</v>
      </c>
    </row>
    <row r="783" spans="1:2" x14ac:dyDescent="0.4">
      <c r="A783" t="s">
        <v>1141</v>
      </c>
      <c r="B783" t="s">
        <v>418</v>
      </c>
    </row>
    <row r="784" spans="1:2" x14ac:dyDescent="0.4">
      <c r="A784" t="s">
        <v>1142</v>
      </c>
      <c r="B784" t="s">
        <v>416</v>
      </c>
    </row>
    <row r="785" spans="1:2" x14ac:dyDescent="0.4">
      <c r="A785" t="s">
        <v>1143</v>
      </c>
      <c r="B785" t="s">
        <v>415</v>
      </c>
    </row>
    <row r="786" spans="1:2" x14ac:dyDescent="0.4">
      <c r="A786" t="s">
        <v>1144</v>
      </c>
      <c r="B786" t="s">
        <v>485</v>
      </c>
    </row>
    <row r="787" spans="1:2" x14ac:dyDescent="0.4">
      <c r="A787" t="s">
        <v>454</v>
      </c>
      <c r="B787" t="s">
        <v>347</v>
      </c>
    </row>
    <row r="788" spans="1:2" x14ac:dyDescent="0.4">
      <c r="A788" t="s">
        <v>541</v>
      </c>
      <c r="B788" t="s">
        <v>402</v>
      </c>
    </row>
    <row r="789" spans="1:2" x14ac:dyDescent="0.4">
      <c r="A789" t="s">
        <v>1145</v>
      </c>
      <c r="B789" t="s">
        <v>409</v>
      </c>
    </row>
    <row r="790" spans="1:2" x14ac:dyDescent="0.4">
      <c r="A790" t="s">
        <v>1146</v>
      </c>
      <c r="B790" t="s">
        <v>935</v>
      </c>
    </row>
    <row r="791" spans="1:2" x14ac:dyDescent="0.4">
      <c r="A791" t="s">
        <v>1147</v>
      </c>
      <c r="B791" t="s">
        <v>415</v>
      </c>
    </row>
    <row r="792" spans="1:2" x14ac:dyDescent="0.4">
      <c r="A792" t="s">
        <v>1148</v>
      </c>
      <c r="B792" t="s">
        <v>425</v>
      </c>
    </row>
    <row r="793" spans="1:2" x14ac:dyDescent="0.4">
      <c r="A793" t="s">
        <v>580</v>
      </c>
      <c r="B793" t="s">
        <v>412</v>
      </c>
    </row>
    <row r="794" spans="1:2" x14ac:dyDescent="0.4">
      <c r="A794" t="s">
        <v>451</v>
      </c>
      <c r="B794" t="s">
        <v>412</v>
      </c>
    </row>
    <row r="795" spans="1:2" x14ac:dyDescent="0.4">
      <c r="A795" t="s">
        <v>1149</v>
      </c>
      <c r="B795" t="s">
        <v>548</v>
      </c>
    </row>
    <row r="796" spans="1:2" x14ac:dyDescent="0.4">
      <c r="A796" t="s">
        <v>1150</v>
      </c>
      <c r="B796" t="s">
        <v>402</v>
      </c>
    </row>
    <row r="797" spans="1:2" x14ac:dyDescent="0.4">
      <c r="A797" t="s">
        <v>1151</v>
      </c>
      <c r="B797" t="s">
        <v>410</v>
      </c>
    </row>
    <row r="798" spans="1:2" x14ac:dyDescent="0.4">
      <c r="A798" t="s">
        <v>1152</v>
      </c>
      <c r="B798" t="s">
        <v>550</v>
      </c>
    </row>
    <row r="799" spans="1:2" x14ac:dyDescent="0.4">
      <c r="A799" t="s">
        <v>1153</v>
      </c>
      <c r="B799" t="s">
        <v>402</v>
      </c>
    </row>
    <row r="800" spans="1:2" x14ac:dyDescent="0.4">
      <c r="A800" t="s">
        <v>1154</v>
      </c>
      <c r="B800" t="s">
        <v>612</v>
      </c>
    </row>
    <row r="801" spans="1:2" x14ac:dyDescent="0.4">
      <c r="A801" t="s">
        <v>1155</v>
      </c>
      <c r="B801" t="s">
        <v>405</v>
      </c>
    </row>
    <row r="802" spans="1:2" x14ac:dyDescent="0.4">
      <c r="A802" t="s">
        <v>1156</v>
      </c>
      <c r="B802" t="s">
        <v>343</v>
      </c>
    </row>
    <row r="803" spans="1:2" x14ac:dyDescent="0.4">
      <c r="A803" t="s">
        <v>1157</v>
      </c>
      <c r="B803" t="s">
        <v>405</v>
      </c>
    </row>
    <row r="804" spans="1:2" x14ac:dyDescent="0.4">
      <c r="A804" t="s">
        <v>1158</v>
      </c>
      <c r="B804" t="s">
        <v>414</v>
      </c>
    </row>
    <row r="805" spans="1:2" x14ac:dyDescent="0.4">
      <c r="A805" t="s">
        <v>1159</v>
      </c>
      <c r="B805" t="s">
        <v>407</v>
      </c>
    </row>
    <row r="806" spans="1:2" x14ac:dyDescent="0.4">
      <c r="A806" t="s">
        <v>1160</v>
      </c>
      <c r="B806" t="s">
        <v>475</v>
      </c>
    </row>
    <row r="807" spans="1:2" x14ac:dyDescent="0.4">
      <c r="A807" t="s">
        <v>1161</v>
      </c>
      <c r="B807" t="s">
        <v>402</v>
      </c>
    </row>
    <row r="808" spans="1:2" x14ac:dyDescent="0.4">
      <c r="A808" t="s">
        <v>1162</v>
      </c>
      <c r="B808" t="s">
        <v>466</v>
      </c>
    </row>
    <row r="809" spans="1:2" x14ac:dyDescent="0.4">
      <c r="A809" t="s">
        <v>1163</v>
      </c>
      <c r="B809" t="s">
        <v>980</v>
      </c>
    </row>
    <row r="810" spans="1:2" x14ac:dyDescent="0.4">
      <c r="A810" t="s">
        <v>1164</v>
      </c>
      <c r="B810" t="s">
        <v>643</v>
      </c>
    </row>
    <row r="811" spans="1:2" x14ac:dyDescent="0.4">
      <c r="A811" t="s">
        <v>1165</v>
      </c>
      <c r="B811" t="s">
        <v>1049</v>
      </c>
    </row>
    <row r="812" spans="1:2" x14ac:dyDescent="0.4">
      <c r="A812" t="s">
        <v>1166</v>
      </c>
      <c r="B812" t="s">
        <v>344</v>
      </c>
    </row>
    <row r="813" spans="1:2" x14ac:dyDescent="0.4">
      <c r="A813" t="s">
        <v>1167</v>
      </c>
      <c r="B813" t="s">
        <v>344</v>
      </c>
    </row>
    <row r="814" spans="1:2" x14ac:dyDescent="0.4">
      <c r="A814" t="s">
        <v>1168</v>
      </c>
      <c r="B814" t="s">
        <v>405</v>
      </c>
    </row>
    <row r="815" spans="1:2" x14ac:dyDescent="0.4">
      <c r="A815" t="s">
        <v>1169</v>
      </c>
      <c r="B815" t="s">
        <v>466</v>
      </c>
    </row>
    <row r="816" spans="1:2" x14ac:dyDescent="0.4">
      <c r="A816" t="s">
        <v>1170</v>
      </c>
      <c r="B816" t="s">
        <v>612</v>
      </c>
    </row>
    <row r="817" spans="1:2" x14ac:dyDescent="0.4">
      <c r="A817" t="s">
        <v>1171</v>
      </c>
      <c r="B817" t="s">
        <v>416</v>
      </c>
    </row>
    <row r="818" spans="1:2" x14ac:dyDescent="0.4">
      <c r="A818" t="s">
        <v>1172</v>
      </c>
      <c r="B818" t="s">
        <v>411</v>
      </c>
    </row>
    <row r="819" spans="1:2" x14ac:dyDescent="0.4">
      <c r="A819" t="s">
        <v>1173</v>
      </c>
      <c r="B819" t="s">
        <v>344</v>
      </c>
    </row>
    <row r="820" spans="1:2" x14ac:dyDescent="0.4">
      <c r="A820" t="s">
        <v>1174</v>
      </c>
      <c r="B820" t="s">
        <v>344</v>
      </c>
    </row>
    <row r="821" spans="1:2" x14ac:dyDescent="0.4">
      <c r="A821" t="s">
        <v>1175</v>
      </c>
      <c r="B821" t="s">
        <v>550</v>
      </c>
    </row>
    <row r="822" spans="1:2" x14ac:dyDescent="0.4">
      <c r="A822" t="s">
        <v>1176</v>
      </c>
      <c r="B822" t="s">
        <v>405</v>
      </c>
    </row>
    <row r="823" spans="1:2" x14ac:dyDescent="0.4">
      <c r="A823" t="s">
        <v>1177</v>
      </c>
      <c r="B823" t="s">
        <v>405</v>
      </c>
    </row>
    <row r="824" spans="1:2" x14ac:dyDescent="0.4">
      <c r="A824" t="s">
        <v>1178</v>
      </c>
      <c r="B824" t="s">
        <v>345</v>
      </c>
    </row>
    <row r="825" spans="1:2" x14ac:dyDescent="0.4">
      <c r="A825" t="s">
        <v>1179</v>
      </c>
      <c r="B825" t="s">
        <v>345</v>
      </c>
    </row>
    <row r="826" spans="1:2" x14ac:dyDescent="0.4">
      <c r="A826" t="s">
        <v>1180</v>
      </c>
      <c r="B826" t="s">
        <v>643</v>
      </c>
    </row>
    <row r="827" spans="1:2" x14ac:dyDescent="0.4">
      <c r="A827" t="s">
        <v>1181</v>
      </c>
      <c r="B827" t="s">
        <v>405</v>
      </c>
    </row>
    <row r="828" spans="1:2" x14ac:dyDescent="0.4">
      <c r="A828" t="s">
        <v>299</v>
      </c>
      <c r="B828" t="s">
        <v>402</v>
      </c>
    </row>
    <row r="829" spans="1:2" x14ac:dyDescent="0.4">
      <c r="A829" t="s">
        <v>1182</v>
      </c>
      <c r="B829" t="s">
        <v>343</v>
      </c>
    </row>
    <row r="830" spans="1:2" x14ac:dyDescent="0.4">
      <c r="A830" t="s">
        <v>1183</v>
      </c>
      <c r="B830" t="s">
        <v>1184</v>
      </c>
    </row>
    <row r="831" spans="1:2" x14ac:dyDescent="0.4">
      <c r="A831" t="s">
        <v>1185</v>
      </c>
      <c r="B831" t="s">
        <v>519</v>
      </c>
    </row>
    <row r="832" spans="1:2" x14ac:dyDescent="0.4">
      <c r="A832" t="s">
        <v>1186</v>
      </c>
      <c r="B832" t="s">
        <v>1187</v>
      </c>
    </row>
    <row r="833" spans="1:2" x14ac:dyDescent="0.4">
      <c r="A833" t="s">
        <v>1188</v>
      </c>
      <c r="B833" t="s">
        <v>413</v>
      </c>
    </row>
    <row r="834" spans="1:2" x14ac:dyDescent="0.4">
      <c r="A834" t="s">
        <v>1189</v>
      </c>
      <c r="B834" t="s">
        <v>413</v>
      </c>
    </row>
    <row r="835" spans="1:2" x14ac:dyDescent="0.4">
      <c r="A835" t="s">
        <v>1190</v>
      </c>
      <c r="B835" t="s">
        <v>413</v>
      </c>
    </row>
    <row r="836" spans="1:2" x14ac:dyDescent="0.4">
      <c r="A836" t="s">
        <v>1191</v>
      </c>
      <c r="B836" t="s">
        <v>345</v>
      </c>
    </row>
    <row r="837" spans="1:2" x14ac:dyDescent="0.4">
      <c r="A837" t="s">
        <v>1192</v>
      </c>
      <c r="B837" t="s">
        <v>345</v>
      </c>
    </row>
    <row r="838" spans="1:2" x14ac:dyDescent="0.4">
      <c r="A838" t="s">
        <v>1193</v>
      </c>
      <c r="B838" t="s">
        <v>345</v>
      </c>
    </row>
    <row r="839" spans="1:2" x14ac:dyDescent="0.4">
      <c r="A839" t="s">
        <v>1194</v>
      </c>
      <c r="B839" t="s">
        <v>349</v>
      </c>
    </row>
    <row r="840" spans="1:2" x14ac:dyDescent="0.4">
      <c r="A840" t="s">
        <v>1195</v>
      </c>
      <c r="B840" t="s">
        <v>475</v>
      </c>
    </row>
    <row r="841" spans="1:2" x14ac:dyDescent="0.4">
      <c r="A841" t="s">
        <v>1196</v>
      </c>
      <c r="B841" t="s">
        <v>345</v>
      </c>
    </row>
    <row r="842" spans="1:2" x14ac:dyDescent="0.4">
      <c r="A842" t="s">
        <v>1197</v>
      </c>
      <c r="B842" t="s">
        <v>344</v>
      </c>
    </row>
    <row r="843" spans="1:2" x14ac:dyDescent="0.4">
      <c r="A843" t="s">
        <v>1198</v>
      </c>
      <c r="B843" t="s">
        <v>544</v>
      </c>
    </row>
    <row r="844" spans="1:2" x14ac:dyDescent="0.4">
      <c r="A844" t="s">
        <v>1199</v>
      </c>
      <c r="B844" t="s">
        <v>344</v>
      </c>
    </row>
    <row r="845" spans="1:2" x14ac:dyDescent="0.4">
      <c r="A845" t="s">
        <v>617</v>
      </c>
      <c r="B845" t="s">
        <v>416</v>
      </c>
    </row>
    <row r="846" spans="1:2" x14ac:dyDescent="0.4">
      <c r="A846" t="s">
        <v>1200</v>
      </c>
      <c r="B846" t="s">
        <v>1133</v>
      </c>
    </row>
    <row r="847" spans="1:2" x14ac:dyDescent="0.4">
      <c r="A847" t="s">
        <v>1201</v>
      </c>
      <c r="B847" t="s">
        <v>344</v>
      </c>
    </row>
    <row r="848" spans="1:2" x14ac:dyDescent="0.4">
      <c r="A848" t="s">
        <v>1202</v>
      </c>
      <c r="B848" t="s">
        <v>402</v>
      </c>
    </row>
    <row r="849" spans="1:2" x14ac:dyDescent="0.4">
      <c r="A849" t="s">
        <v>1203</v>
      </c>
      <c r="B849" t="s">
        <v>402</v>
      </c>
    </row>
    <row r="850" spans="1:2" x14ac:dyDescent="0.4">
      <c r="A850" t="s">
        <v>1204</v>
      </c>
      <c r="B850" t="s">
        <v>345</v>
      </c>
    </row>
    <row r="851" spans="1:2" x14ac:dyDescent="0.4">
      <c r="A851" t="s">
        <v>1205</v>
      </c>
      <c r="B851" t="s">
        <v>410</v>
      </c>
    </row>
    <row r="852" spans="1:2" x14ac:dyDescent="0.4">
      <c r="A852" t="s">
        <v>1206</v>
      </c>
      <c r="B852" t="s">
        <v>406</v>
      </c>
    </row>
    <row r="853" spans="1:2" x14ac:dyDescent="0.4">
      <c r="A853" t="s">
        <v>1207</v>
      </c>
      <c r="B853" t="s">
        <v>344</v>
      </c>
    </row>
    <row r="854" spans="1:2" x14ac:dyDescent="0.4">
      <c r="A854" t="s">
        <v>1208</v>
      </c>
      <c r="B854" t="s">
        <v>466</v>
      </c>
    </row>
    <row r="855" spans="1:2" x14ac:dyDescent="0.4">
      <c r="A855" t="s">
        <v>1209</v>
      </c>
      <c r="B855" t="s">
        <v>872</v>
      </c>
    </row>
    <row r="856" spans="1:2" x14ac:dyDescent="0.4">
      <c r="A856" t="s">
        <v>1210</v>
      </c>
      <c r="B856" t="s">
        <v>346</v>
      </c>
    </row>
    <row r="857" spans="1:2" x14ac:dyDescent="0.4">
      <c r="A857" t="s">
        <v>1211</v>
      </c>
      <c r="B857" t="s">
        <v>1212</v>
      </c>
    </row>
    <row r="858" spans="1:2" x14ac:dyDescent="0.4">
      <c r="A858" t="s">
        <v>1213</v>
      </c>
      <c r="B858" t="s">
        <v>421</v>
      </c>
    </row>
    <row r="859" spans="1:2" x14ac:dyDescent="0.4">
      <c r="A859" t="s">
        <v>1214</v>
      </c>
      <c r="B859" t="s">
        <v>402</v>
      </c>
    </row>
    <row r="860" spans="1:2" x14ac:dyDescent="0.4">
      <c r="A860" t="s">
        <v>1215</v>
      </c>
      <c r="B860" t="s">
        <v>348</v>
      </c>
    </row>
    <row r="861" spans="1:2" x14ac:dyDescent="0.4">
      <c r="A861" t="s">
        <v>1216</v>
      </c>
      <c r="B861" t="s">
        <v>1049</v>
      </c>
    </row>
    <row r="862" spans="1:2" x14ac:dyDescent="0.4">
      <c r="A862" t="s">
        <v>1217</v>
      </c>
      <c r="B862" t="s">
        <v>1049</v>
      </c>
    </row>
    <row r="863" spans="1:2" x14ac:dyDescent="0.4">
      <c r="A863" t="s">
        <v>1218</v>
      </c>
      <c r="B863" t="s">
        <v>405</v>
      </c>
    </row>
    <row r="864" spans="1:2" x14ac:dyDescent="0.4">
      <c r="A864" t="s">
        <v>1219</v>
      </c>
      <c r="B864" t="s">
        <v>834</v>
      </c>
    </row>
    <row r="865" spans="1:2" x14ac:dyDescent="0.4">
      <c r="A865" t="s">
        <v>1220</v>
      </c>
      <c r="B865" t="s">
        <v>455</v>
      </c>
    </row>
    <row r="866" spans="1:2" x14ac:dyDescent="0.4">
      <c r="A866" t="s">
        <v>1221</v>
      </c>
      <c r="B866" t="s">
        <v>345</v>
      </c>
    </row>
    <row r="867" spans="1:2" x14ac:dyDescent="0.4">
      <c r="A867" t="s">
        <v>1222</v>
      </c>
      <c r="B867" t="s">
        <v>405</v>
      </c>
    </row>
    <row r="868" spans="1:2" x14ac:dyDescent="0.4">
      <c r="A868" t="s">
        <v>1223</v>
      </c>
      <c r="B868" t="s">
        <v>406</v>
      </c>
    </row>
    <row r="869" spans="1:2" x14ac:dyDescent="0.4">
      <c r="A869" t="s">
        <v>1224</v>
      </c>
      <c r="B869" t="s">
        <v>751</v>
      </c>
    </row>
    <row r="870" spans="1:2" x14ac:dyDescent="0.4">
      <c r="A870" t="s">
        <v>1225</v>
      </c>
      <c r="B870" t="s">
        <v>344</v>
      </c>
    </row>
    <row r="871" spans="1:2" x14ac:dyDescent="0.4">
      <c r="A871" t="s">
        <v>1226</v>
      </c>
      <c r="B871" t="s">
        <v>643</v>
      </c>
    </row>
    <row r="872" spans="1:2" x14ac:dyDescent="0.4">
      <c r="A872" t="s">
        <v>1227</v>
      </c>
      <c r="B872" t="s">
        <v>1053</v>
      </c>
    </row>
    <row r="873" spans="1:2" x14ac:dyDescent="0.4">
      <c r="A873" t="s">
        <v>1228</v>
      </c>
      <c r="B873" t="s">
        <v>421</v>
      </c>
    </row>
    <row r="874" spans="1:2" x14ac:dyDescent="0.4">
      <c r="A874" t="s">
        <v>1229</v>
      </c>
      <c r="B874" t="s">
        <v>643</v>
      </c>
    </row>
    <row r="875" spans="1:2" x14ac:dyDescent="0.4">
      <c r="A875" t="s">
        <v>1230</v>
      </c>
      <c r="B875" t="s">
        <v>411</v>
      </c>
    </row>
    <row r="876" spans="1:2" x14ac:dyDescent="0.4">
      <c r="A876" t="s">
        <v>1231</v>
      </c>
      <c r="B876" t="s">
        <v>405</v>
      </c>
    </row>
    <row r="877" spans="1:2" x14ac:dyDescent="0.4">
      <c r="A877" t="s">
        <v>1232</v>
      </c>
      <c r="B877" t="s">
        <v>344</v>
      </c>
    </row>
    <row r="878" spans="1:2" x14ac:dyDescent="0.4">
      <c r="A878" t="s">
        <v>1233</v>
      </c>
      <c r="B878" t="s">
        <v>402</v>
      </c>
    </row>
    <row r="879" spans="1:2" x14ac:dyDescent="0.4">
      <c r="A879" t="s">
        <v>1234</v>
      </c>
      <c r="B879" t="s">
        <v>416</v>
      </c>
    </row>
    <row r="880" spans="1:2" x14ac:dyDescent="0.4">
      <c r="A880" t="s">
        <v>1235</v>
      </c>
      <c r="B880" t="s">
        <v>479</v>
      </c>
    </row>
    <row r="881" spans="1:2" x14ac:dyDescent="0.4">
      <c r="A881" t="s">
        <v>1236</v>
      </c>
      <c r="B881" t="s">
        <v>475</v>
      </c>
    </row>
    <row r="882" spans="1:2" x14ac:dyDescent="0.4">
      <c r="A882" t="s">
        <v>1237</v>
      </c>
      <c r="B882" t="s">
        <v>342</v>
      </c>
    </row>
    <row r="883" spans="1:2" x14ac:dyDescent="0.4">
      <c r="A883" t="s">
        <v>1238</v>
      </c>
      <c r="B883" t="s">
        <v>416</v>
      </c>
    </row>
    <row r="884" spans="1:2" x14ac:dyDescent="0.4">
      <c r="A884" t="s">
        <v>1239</v>
      </c>
      <c r="B884" t="s">
        <v>402</v>
      </c>
    </row>
    <row r="885" spans="1:2" x14ac:dyDescent="0.4">
      <c r="A885" t="s">
        <v>1240</v>
      </c>
      <c r="B885" t="s">
        <v>472</v>
      </c>
    </row>
    <row r="886" spans="1:2" x14ac:dyDescent="0.4">
      <c r="A886" t="s">
        <v>1241</v>
      </c>
      <c r="B886" t="s">
        <v>343</v>
      </c>
    </row>
    <row r="887" spans="1:2" x14ac:dyDescent="0.4">
      <c r="A887" t="s">
        <v>1242</v>
      </c>
      <c r="B887" t="s">
        <v>411</v>
      </c>
    </row>
    <row r="888" spans="1:2" x14ac:dyDescent="0.4">
      <c r="A888" t="s">
        <v>1243</v>
      </c>
      <c r="B888" t="s">
        <v>418</v>
      </c>
    </row>
    <row r="889" spans="1:2" x14ac:dyDescent="0.4">
      <c r="A889" t="s">
        <v>1244</v>
      </c>
      <c r="B889" t="s">
        <v>425</v>
      </c>
    </row>
    <row r="890" spans="1:2" x14ac:dyDescent="0.4">
      <c r="A890" t="s">
        <v>1245</v>
      </c>
      <c r="B890" t="s">
        <v>345</v>
      </c>
    </row>
    <row r="891" spans="1:2" x14ac:dyDescent="0.4">
      <c r="A891" t="s">
        <v>1246</v>
      </c>
      <c r="B891" t="s">
        <v>349</v>
      </c>
    </row>
    <row r="892" spans="1:2" x14ac:dyDescent="0.4">
      <c r="A892" t="s">
        <v>1247</v>
      </c>
      <c r="B892" t="s">
        <v>349</v>
      </c>
    </row>
    <row r="893" spans="1:2" x14ac:dyDescent="0.4">
      <c r="A893" t="s">
        <v>1248</v>
      </c>
      <c r="B893" t="s">
        <v>342</v>
      </c>
    </row>
    <row r="894" spans="1:2" x14ac:dyDescent="0.4">
      <c r="A894" t="s">
        <v>1249</v>
      </c>
      <c r="B894" t="s">
        <v>347</v>
      </c>
    </row>
    <row r="895" spans="1:2" x14ac:dyDescent="0.4">
      <c r="A895" t="s">
        <v>1250</v>
      </c>
      <c r="B895" t="s">
        <v>475</v>
      </c>
    </row>
    <row r="896" spans="1:2" x14ac:dyDescent="0.4">
      <c r="A896" t="s">
        <v>1251</v>
      </c>
      <c r="B896" t="s">
        <v>402</v>
      </c>
    </row>
    <row r="897" spans="1:2" x14ac:dyDescent="0.4">
      <c r="A897" t="s">
        <v>1252</v>
      </c>
      <c r="B897" t="s">
        <v>380</v>
      </c>
    </row>
    <row r="898" spans="1:2" x14ac:dyDescent="0.4">
      <c r="A898" t="s">
        <v>1253</v>
      </c>
      <c r="B898" t="s">
        <v>466</v>
      </c>
    </row>
    <row r="899" spans="1:2" x14ac:dyDescent="0.4">
      <c r="A899" t="s">
        <v>1254</v>
      </c>
      <c r="B899" t="s">
        <v>1255</v>
      </c>
    </row>
    <row r="900" spans="1:2" x14ac:dyDescent="0.4">
      <c r="A900" t="s">
        <v>1256</v>
      </c>
      <c r="B900" t="s">
        <v>490</v>
      </c>
    </row>
    <row r="901" spans="1:2" x14ac:dyDescent="0.4">
      <c r="A901" t="s">
        <v>1257</v>
      </c>
      <c r="B901" t="s">
        <v>406</v>
      </c>
    </row>
    <row r="902" spans="1:2" x14ac:dyDescent="0.4">
      <c r="A902" t="s">
        <v>1258</v>
      </c>
      <c r="B902" t="s">
        <v>414</v>
      </c>
    </row>
    <row r="903" spans="1:2" x14ac:dyDescent="0.4">
      <c r="A903" t="s">
        <v>1259</v>
      </c>
      <c r="B903" t="s">
        <v>345</v>
      </c>
    </row>
    <row r="904" spans="1:2" x14ac:dyDescent="0.4">
      <c r="A904" t="s">
        <v>1260</v>
      </c>
      <c r="B904" t="s">
        <v>615</v>
      </c>
    </row>
    <row r="905" spans="1:2" x14ac:dyDescent="0.4">
      <c r="A905" t="s">
        <v>1261</v>
      </c>
      <c r="B905" t="s">
        <v>402</v>
      </c>
    </row>
    <row r="906" spans="1:2" x14ac:dyDescent="0.4">
      <c r="A906" t="s">
        <v>1262</v>
      </c>
      <c r="B906" t="s">
        <v>466</v>
      </c>
    </row>
    <row r="907" spans="1:2" x14ac:dyDescent="0.4">
      <c r="A907" t="s">
        <v>1263</v>
      </c>
      <c r="B907" t="s">
        <v>612</v>
      </c>
    </row>
    <row r="908" spans="1:2" x14ac:dyDescent="0.4">
      <c r="A908" t="s">
        <v>1264</v>
      </c>
      <c r="B908" t="s">
        <v>643</v>
      </c>
    </row>
    <row r="909" spans="1:2" x14ac:dyDescent="0.4">
      <c r="A909" t="s">
        <v>1265</v>
      </c>
      <c r="B909" t="s">
        <v>1266</v>
      </c>
    </row>
    <row r="910" spans="1:2" x14ac:dyDescent="0.4">
      <c r="A910" t="s">
        <v>1267</v>
      </c>
      <c r="B910" t="s">
        <v>1049</v>
      </c>
    </row>
    <row r="911" spans="1:2" x14ac:dyDescent="0.4">
      <c r="A911" t="s">
        <v>1268</v>
      </c>
      <c r="B911" t="s">
        <v>406</v>
      </c>
    </row>
    <row r="912" spans="1:2" x14ac:dyDescent="0.4">
      <c r="A912" t="s">
        <v>1269</v>
      </c>
      <c r="B912" t="s">
        <v>411</v>
      </c>
    </row>
    <row r="913" spans="1:2" x14ac:dyDescent="0.4">
      <c r="A913" t="s">
        <v>1270</v>
      </c>
      <c r="B913" t="s">
        <v>485</v>
      </c>
    </row>
    <row r="914" spans="1:2" x14ac:dyDescent="0.4">
      <c r="A914" t="s">
        <v>1271</v>
      </c>
      <c r="B914" t="s">
        <v>458</v>
      </c>
    </row>
    <row r="915" spans="1:2" x14ac:dyDescent="0.4">
      <c r="A915" t="s">
        <v>1272</v>
      </c>
      <c r="B915" t="s">
        <v>935</v>
      </c>
    </row>
    <row r="916" spans="1:2" x14ac:dyDescent="0.4">
      <c r="A916" t="s">
        <v>1273</v>
      </c>
      <c r="B916" t="s">
        <v>405</v>
      </c>
    </row>
    <row r="917" spans="1:2" x14ac:dyDescent="0.4">
      <c r="A917" t="s">
        <v>1274</v>
      </c>
      <c r="B917" t="s">
        <v>343</v>
      </c>
    </row>
    <row r="918" spans="1:2" x14ac:dyDescent="0.4">
      <c r="A918" t="s">
        <v>1275</v>
      </c>
      <c r="B918" t="s">
        <v>402</v>
      </c>
    </row>
    <row r="919" spans="1:2" x14ac:dyDescent="0.4">
      <c r="A919" t="s">
        <v>1276</v>
      </c>
      <c r="B919" t="s">
        <v>545</v>
      </c>
    </row>
    <row r="920" spans="1:2" x14ac:dyDescent="0.4">
      <c r="A920" t="s">
        <v>1277</v>
      </c>
      <c r="B920" t="s">
        <v>472</v>
      </c>
    </row>
    <row r="921" spans="1:2" x14ac:dyDescent="0.4">
      <c r="A921" t="s">
        <v>1278</v>
      </c>
      <c r="B921" t="s">
        <v>472</v>
      </c>
    </row>
    <row r="922" spans="1:2" x14ac:dyDescent="0.4">
      <c r="A922" t="s">
        <v>1279</v>
      </c>
      <c r="B922" t="s">
        <v>344</v>
      </c>
    </row>
    <row r="923" spans="1:2" x14ac:dyDescent="0.4">
      <c r="A923" t="s">
        <v>1280</v>
      </c>
      <c r="B923" t="s">
        <v>416</v>
      </c>
    </row>
    <row r="924" spans="1:2" x14ac:dyDescent="0.4">
      <c r="A924" t="s">
        <v>1281</v>
      </c>
      <c r="B924" t="s">
        <v>722</v>
      </c>
    </row>
    <row r="925" spans="1:2" x14ac:dyDescent="0.4">
      <c r="A925" t="s">
        <v>1282</v>
      </c>
      <c r="B925" t="s">
        <v>402</v>
      </c>
    </row>
    <row r="926" spans="1:2" x14ac:dyDescent="0.4">
      <c r="A926" t="s">
        <v>1283</v>
      </c>
      <c r="B926" t="s">
        <v>343</v>
      </c>
    </row>
    <row r="927" spans="1:2" x14ac:dyDescent="0.4">
      <c r="A927" t="s">
        <v>1284</v>
      </c>
      <c r="B927" t="s">
        <v>343</v>
      </c>
    </row>
    <row r="928" spans="1:2" x14ac:dyDescent="0.4">
      <c r="A928" t="s">
        <v>1285</v>
      </c>
      <c r="B928" t="s">
        <v>416</v>
      </c>
    </row>
    <row r="929" spans="1:2" x14ac:dyDescent="0.4">
      <c r="A929" t="s">
        <v>1286</v>
      </c>
      <c r="B929" t="s">
        <v>612</v>
      </c>
    </row>
    <row r="930" spans="1:2" x14ac:dyDescent="0.4">
      <c r="A930" t="s">
        <v>1287</v>
      </c>
      <c r="B930" t="s">
        <v>416</v>
      </c>
    </row>
    <row r="931" spans="1:2" x14ac:dyDescent="0.4">
      <c r="A931" t="s">
        <v>1288</v>
      </c>
      <c r="B931" t="s">
        <v>643</v>
      </c>
    </row>
    <row r="932" spans="1:2" x14ac:dyDescent="0.4">
      <c r="A932" t="s">
        <v>1289</v>
      </c>
      <c r="B932" t="s">
        <v>497</v>
      </c>
    </row>
    <row r="933" spans="1:2" x14ac:dyDescent="0.4">
      <c r="A933" t="s">
        <v>1290</v>
      </c>
      <c r="B933" t="s">
        <v>859</v>
      </c>
    </row>
    <row r="934" spans="1:2" x14ac:dyDescent="0.4">
      <c r="A934" t="s">
        <v>1291</v>
      </c>
      <c r="B934" t="s">
        <v>1101</v>
      </c>
    </row>
    <row r="935" spans="1:2" x14ac:dyDescent="0.4">
      <c r="A935" t="s">
        <v>1292</v>
      </c>
      <c r="B935" t="s">
        <v>519</v>
      </c>
    </row>
    <row r="936" spans="1:2" x14ac:dyDescent="0.4">
      <c r="A936" t="s">
        <v>1293</v>
      </c>
      <c r="B936" t="s">
        <v>407</v>
      </c>
    </row>
    <row r="937" spans="1:2" x14ac:dyDescent="0.4">
      <c r="A937" t="s">
        <v>1294</v>
      </c>
      <c r="B937" t="s">
        <v>425</v>
      </c>
    </row>
    <row r="938" spans="1:2" x14ac:dyDescent="0.4">
      <c r="A938" t="s">
        <v>1295</v>
      </c>
      <c r="B938" t="s">
        <v>425</v>
      </c>
    </row>
    <row r="939" spans="1:2" x14ac:dyDescent="0.4">
      <c r="A939" t="s">
        <v>1296</v>
      </c>
      <c r="B939" t="s">
        <v>425</v>
      </c>
    </row>
    <row r="940" spans="1:2" x14ac:dyDescent="0.4">
      <c r="A940" t="s">
        <v>1297</v>
      </c>
      <c r="B940" t="s">
        <v>411</v>
      </c>
    </row>
    <row r="941" spans="1:2" x14ac:dyDescent="0.4">
      <c r="A941" t="s">
        <v>1298</v>
      </c>
      <c r="B941" t="s">
        <v>345</v>
      </c>
    </row>
    <row r="942" spans="1:2" x14ac:dyDescent="0.4">
      <c r="A942" t="s">
        <v>1299</v>
      </c>
      <c r="B942" t="s">
        <v>347</v>
      </c>
    </row>
    <row r="943" spans="1:2" x14ac:dyDescent="0.4">
      <c r="A943" t="s">
        <v>1300</v>
      </c>
      <c r="B943" t="s">
        <v>402</v>
      </c>
    </row>
    <row r="944" spans="1:2" x14ac:dyDescent="0.4">
      <c r="A944" t="s">
        <v>1301</v>
      </c>
      <c r="B944" t="s">
        <v>402</v>
      </c>
    </row>
    <row r="945" spans="1:2" x14ac:dyDescent="0.4">
      <c r="A945" t="s">
        <v>1302</v>
      </c>
      <c r="B945" t="s">
        <v>402</v>
      </c>
    </row>
    <row r="946" spans="1:2" x14ac:dyDescent="0.4">
      <c r="A946" t="s">
        <v>1303</v>
      </c>
      <c r="B946" t="s">
        <v>344</v>
      </c>
    </row>
    <row r="947" spans="1:2" x14ac:dyDescent="0.4">
      <c r="A947" t="s">
        <v>1304</v>
      </c>
      <c r="B947" t="s">
        <v>917</v>
      </c>
    </row>
    <row r="948" spans="1:2" x14ac:dyDescent="0.4">
      <c r="A948" t="s">
        <v>1305</v>
      </c>
      <c r="B948" t="s">
        <v>402</v>
      </c>
    </row>
    <row r="949" spans="1:2" x14ac:dyDescent="0.4">
      <c r="A949" t="s">
        <v>1306</v>
      </c>
      <c r="B949" t="s">
        <v>544</v>
      </c>
    </row>
    <row r="950" spans="1:2" x14ac:dyDescent="0.4">
      <c r="A950" t="s">
        <v>1307</v>
      </c>
      <c r="B950" t="s">
        <v>416</v>
      </c>
    </row>
    <row r="951" spans="1:2" x14ac:dyDescent="0.4">
      <c r="A951" t="s">
        <v>1308</v>
      </c>
      <c r="B951" t="s">
        <v>344</v>
      </c>
    </row>
    <row r="952" spans="1:2" x14ac:dyDescent="0.4">
      <c r="A952" t="s">
        <v>1309</v>
      </c>
      <c r="B952" t="s">
        <v>501</v>
      </c>
    </row>
    <row r="953" spans="1:2" x14ac:dyDescent="0.4">
      <c r="A953" t="s">
        <v>1310</v>
      </c>
      <c r="B953" t="s">
        <v>402</v>
      </c>
    </row>
    <row r="954" spans="1:2" x14ac:dyDescent="0.4">
      <c r="A954" t="s">
        <v>1311</v>
      </c>
      <c r="B954" t="s">
        <v>406</v>
      </c>
    </row>
    <row r="955" spans="1:2" x14ac:dyDescent="0.4">
      <c r="A955" t="s">
        <v>1312</v>
      </c>
      <c r="B955" t="s">
        <v>545</v>
      </c>
    </row>
    <row r="956" spans="1:2" x14ac:dyDescent="0.4">
      <c r="A956" t="s">
        <v>1313</v>
      </c>
      <c r="B956" t="s">
        <v>1112</v>
      </c>
    </row>
    <row r="957" spans="1:2" x14ac:dyDescent="0.4">
      <c r="A957" t="s">
        <v>1314</v>
      </c>
      <c r="B957" t="s">
        <v>1315</v>
      </c>
    </row>
    <row r="958" spans="1:2" x14ac:dyDescent="0.4">
      <c r="A958" t="s">
        <v>1316</v>
      </c>
      <c r="B958" t="s">
        <v>416</v>
      </c>
    </row>
    <row r="959" spans="1:2" x14ac:dyDescent="0.4">
      <c r="A959" t="s">
        <v>1317</v>
      </c>
      <c r="B959" t="s">
        <v>596</v>
      </c>
    </row>
    <row r="960" spans="1:2" x14ac:dyDescent="0.4">
      <c r="A960" t="s">
        <v>1318</v>
      </c>
      <c r="B960" t="s">
        <v>348</v>
      </c>
    </row>
    <row r="961" spans="1:2" x14ac:dyDescent="0.4">
      <c r="A961" t="s">
        <v>1319</v>
      </c>
      <c r="B961" t="s">
        <v>402</v>
      </c>
    </row>
    <row r="962" spans="1:2" x14ac:dyDescent="0.4">
      <c r="A962" t="s">
        <v>1320</v>
      </c>
      <c r="B962" t="s">
        <v>402</v>
      </c>
    </row>
    <row r="963" spans="1:2" x14ac:dyDescent="0.4">
      <c r="A963" t="s">
        <v>1321</v>
      </c>
      <c r="B963" t="s">
        <v>342</v>
      </c>
    </row>
    <row r="964" spans="1:2" x14ac:dyDescent="0.4">
      <c r="A964" t="s">
        <v>1322</v>
      </c>
      <c r="B964" t="s">
        <v>1187</v>
      </c>
    </row>
    <row r="965" spans="1:2" x14ac:dyDescent="0.4">
      <c r="A965" t="s">
        <v>1323</v>
      </c>
      <c r="B965" t="s">
        <v>743</v>
      </c>
    </row>
    <row r="966" spans="1:2" x14ac:dyDescent="0.4">
      <c r="A966" t="s">
        <v>526</v>
      </c>
      <c r="B966" t="s">
        <v>402</v>
      </c>
    </row>
    <row r="967" spans="1:2" x14ac:dyDescent="0.4">
      <c r="A967" t="s">
        <v>1324</v>
      </c>
      <c r="B967" t="s">
        <v>416</v>
      </c>
    </row>
    <row r="968" spans="1:2" x14ac:dyDescent="0.4">
      <c r="A968" t="s">
        <v>1325</v>
      </c>
      <c r="B968" t="s">
        <v>455</v>
      </c>
    </row>
    <row r="969" spans="1:2" x14ac:dyDescent="0.4">
      <c r="A969" t="s">
        <v>1326</v>
      </c>
      <c r="B969" t="s">
        <v>421</v>
      </c>
    </row>
    <row r="970" spans="1:2" x14ac:dyDescent="0.4">
      <c r="A970" t="s">
        <v>1327</v>
      </c>
      <c r="B970" t="s">
        <v>416</v>
      </c>
    </row>
    <row r="971" spans="1:2" x14ac:dyDescent="0.4">
      <c r="A971" t="s">
        <v>1328</v>
      </c>
      <c r="B971" t="s">
        <v>1329</v>
      </c>
    </row>
    <row r="972" spans="1:2" x14ac:dyDescent="0.4">
      <c r="A972" t="s">
        <v>1330</v>
      </c>
      <c r="B972" t="s">
        <v>1049</v>
      </c>
    </row>
    <row r="973" spans="1:2" x14ac:dyDescent="0.4">
      <c r="A973" t="s">
        <v>1331</v>
      </c>
      <c r="B973" t="s">
        <v>343</v>
      </c>
    </row>
    <row r="974" spans="1:2" x14ac:dyDescent="0.4">
      <c r="A974" t="s">
        <v>1332</v>
      </c>
      <c r="B974" t="s">
        <v>1266</v>
      </c>
    </row>
    <row r="975" spans="1:2" x14ac:dyDescent="0.4">
      <c r="A975" t="s">
        <v>1333</v>
      </c>
      <c r="B975" t="s">
        <v>466</v>
      </c>
    </row>
    <row r="976" spans="1:2" x14ac:dyDescent="0.4">
      <c r="A976" t="s">
        <v>1334</v>
      </c>
      <c r="B976" t="s">
        <v>405</v>
      </c>
    </row>
    <row r="977" spans="1:2" x14ac:dyDescent="0.4">
      <c r="A977" t="s">
        <v>1335</v>
      </c>
      <c r="B977" t="s">
        <v>405</v>
      </c>
    </row>
    <row r="978" spans="1:2" x14ac:dyDescent="0.4">
      <c r="A978" t="s">
        <v>1336</v>
      </c>
      <c r="B978" t="s">
        <v>417</v>
      </c>
    </row>
    <row r="979" spans="1:2" x14ac:dyDescent="0.4">
      <c r="A979" t="s">
        <v>1337</v>
      </c>
      <c r="B979" t="s">
        <v>957</v>
      </c>
    </row>
    <row r="980" spans="1:2" x14ac:dyDescent="0.4">
      <c r="A980" t="s">
        <v>1338</v>
      </c>
      <c r="B980" t="s">
        <v>501</v>
      </c>
    </row>
    <row r="981" spans="1:2" x14ac:dyDescent="0.4">
      <c r="A981" t="s">
        <v>1339</v>
      </c>
      <c r="B981" t="s">
        <v>343</v>
      </c>
    </row>
    <row r="982" spans="1:2" x14ac:dyDescent="0.4">
      <c r="A982" t="s">
        <v>1340</v>
      </c>
      <c r="B982" t="s">
        <v>402</v>
      </c>
    </row>
    <row r="983" spans="1:2" x14ac:dyDescent="0.4">
      <c r="A983" t="s">
        <v>1341</v>
      </c>
      <c r="B983" t="s">
        <v>402</v>
      </c>
    </row>
    <row r="984" spans="1:2" x14ac:dyDescent="0.4">
      <c r="A984" t="s">
        <v>1342</v>
      </c>
      <c r="B984" t="s">
        <v>751</v>
      </c>
    </row>
    <row r="985" spans="1:2" x14ac:dyDescent="0.4">
      <c r="A985" t="s">
        <v>539</v>
      </c>
      <c r="B985" t="s">
        <v>343</v>
      </c>
    </row>
    <row r="986" spans="1:2" x14ac:dyDescent="0.4">
      <c r="A986" t="s">
        <v>1343</v>
      </c>
      <c r="B986" t="s">
        <v>421</v>
      </c>
    </row>
    <row r="987" spans="1:2" x14ac:dyDescent="0.4">
      <c r="A987" t="s">
        <v>1344</v>
      </c>
      <c r="B987" t="s">
        <v>344</v>
      </c>
    </row>
    <row r="988" spans="1:2" x14ac:dyDescent="0.4">
      <c r="A988" t="s">
        <v>1345</v>
      </c>
      <c r="B988" t="s">
        <v>411</v>
      </c>
    </row>
    <row r="989" spans="1:2" x14ac:dyDescent="0.4">
      <c r="A989" t="s">
        <v>1346</v>
      </c>
      <c r="B989" t="s">
        <v>418</v>
      </c>
    </row>
    <row r="990" spans="1:2" x14ac:dyDescent="0.4">
      <c r="A990" t="s">
        <v>1347</v>
      </c>
      <c r="B990" t="s">
        <v>425</v>
      </c>
    </row>
    <row r="991" spans="1:2" x14ac:dyDescent="0.4">
      <c r="A991" t="s">
        <v>1348</v>
      </c>
      <c r="B991" t="s">
        <v>412</v>
      </c>
    </row>
    <row r="992" spans="1:2" x14ac:dyDescent="0.4">
      <c r="A992" t="s">
        <v>1349</v>
      </c>
      <c r="B992" t="s">
        <v>412</v>
      </c>
    </row>
    <row r="993" spans="1:2" x14ac:dyDescent="0.4">
      <c r="A993" t="s">
        <v>1350</v>
      </c>
      <c r="B993" t="s">
        <v>1187</v>
      </c>
    </row>
    <row r="994" spans="1:2" x14ac:dyDescent="0.4">
      <c r="A994" t="s">
        <v>529</v>
      </c>
      <c r="B994" t="s">
        <v>412</v>
      </c>
    </row>
    <row r="995" spans="1:2" x14ac:dyDescent="0.4">
      <c r="A995" t="s">
        <v>1351</v>
      </c>
      <c r="B995" t="s">
        <v>461</v>
      </c>
    </row>
    <row r="996" spans="1:2" x14ac:dyDescent="0.4">
      <c r="A996" t="s">
        <v>377</v>
      </c>
      <c r="B996" t="s">
        <v>418</v>
      </c>
    </row>
    <row r="997" spans="1:2" x14ac:dyDescent="0.4">
      <c r="A997" t="s">
        <v>1352</v>
      </c>
      <c r="B997" t="s">
        <v>345</v>
      </c>
    </row>
    <row r="998" spans="1:2" x14ac:dyDescent="0.4">
      <c r="A998" t="s">
        <v>1353</v>
      </c>
      <c r="B998" t="s">
        <v>345</v>
      </c>
    </row>
    <row r="999" spans="1:2" x14ac:dyDescent="0.4">
      <c r="A999" t="s">
        <v>1354</v>
      </c>
      <c r="B999" t="s">
        <v>980</v>
      </c>
    </row>
    <row r="1000" spans="1:2" x14ac:dyDescent="0.4">
      <c r="A1000" t="s">
        <v>1355</v>
      </c>
      <c r="B1000" t="s">
        <v>475</v>
      </c>
    </row>
    <row r="1001" spans="1:2" x14ac:dyDescent="0.4">
      <c r="A1001" t="s">
        <v>1356</v>
      </c>
      <c r="B1001" t="s">
        <v>643</v>
      </c>
    </row>
    <row r="1002" spans="1:2" x14ac:dyDescent="0.4">
      <c r="A1002" t="s">
        <v>1357</v>
      </c>
      <c r="B1002" t="s">
        <v>544</v>
      </c>
    </row>
    <row r="1003" spans="1:2" x14ac:dyDescent="0.4">
      <c r="A1003" t="s">
        <v>1358</v>
      </c>
      <c r="B1003" t="s">
        <v>402</v>
      </c>
    </row>
    <row r="1004" spans="1:2" x14ac:dyDescent="0.4">
      <c r="A1004" t="s">
        <v>1359</v>
      </c>
      <c r="B1004" t="s">
        <v>501</v>
      </c>
    </row>
    <row r="1005" spans="1:2" x14ac:dyDescent="0.4">
      <c r="A1005" t="s">
        <v>1360</v>
      </c>
      <c r="B1005" t="s">
        <v>405</v>
      </c>
    </row>
    <row r="1006" spans="1:2" x14ac:dyDescent="0.4">
      <c r="A1006" t="s">
        <v>1361</v>
      </c>
      <c r="B1006" t="s">
        <v>490</v>
      </c>
    </row>
    <row r="1007" spans="1:2" x14ac:dyDescent="0.4">
      <c r="A1007" t="s">
        <v>1362</v>
      </c>
      <c r="B1007" t="s">
        <v>544</v>
      </c>
    </row>
    <row r="1008" spans="1:2" x14ac:dyDescent="0.4">
      <c r="A1008" t="s">
        <v>1363</v>
      </c>
      <c r="B1008" t="s">
        <v>485</v>
      </c>
    </row>
    <row r="1009" spans="1:2" x14ac:dyDescent="0.4">
      <c r="A1009" t="s">
        <v>1364</v>
      </c>
      <c r="B1009" t="s">
        <v>590</v>
      </c>
    </row>
    <row r="1010" spans="1:2" x14ac:dyDescent="0.4">
      <c r="A1010" t="s">
        <v>1365</v>
      </c>
      <c r="B1010" t="s">
        <v>416</v>
      </c>
    </row>
    <row r="1011" spans="1:2" x14ac:dyDescent="0.4">
      <c r="A1011" t="s">
        <v>1366</v>
      </c>
      <c r="B1011" t="s">
        <v>545</v>
      </c>
    </row>
    <row r="1012" spans="1:2" x14ac:dyDescent="0.4">
      <c r="A1012" t="s">
        <v>1367</v>
      </c>
      <c r="B1012" t="s">
        <v>416</v>
      </c>
    </row>
    <row r="1013" spans="1:2" x14ac:dyDescent="0.4">
      <c r="A1013" t="s">
        <v>1368</v>
      </c>
      <c r="B1013" t="s">
        <v>1315</v>
      </c>
    </row>
    <row r="1014" spans="1:2" x14ac:dyDescent="0.4">
      <c r="A1014" t="s">
        <v>1369</v>
      </c>
      <c r="B1014" t="s">
        <v>485</v>
      </c>
    </row>
    <row r="1015" spans="1:2" x14ac:dyDescent="0.4">
      <c r="A1015" t="s">
        <v>1370</v>
      </c>
      <c r="B1015" t="s">
        <v>545</v>
      </c>
    </row>
    <row r="1016" spans="1:2" x14ac:dyDescent="0.4">
      <c r="A1016" t="s">
        <v>1371</v>
      </c>
      <c r="B1016" t="s">
        <v>485</v>
      </c>
    </row>
    <row r="1017" spans="1:2" x14ac:dyDescent="0.4">
      <c r="A1017" t="s">
        <v>1372</v>
      </c>
      <c r="B1017" t="s">
        <v>1049</v>
      </c>
    </row>
    <row r="1018" spans="1:2" x14ac:dyDescent="0.4">
      <c r="A1018" t="s">
        <v>1373</v>
      </c>
      <c r="B1018" t="s">
        <v>416</v>
      </c>
    </row>
    <row r="1019" spans="1:2" x14ac:dyDescent="0.4">
      <c r="A1019" t="s">
        <v>1374</v>
      </c>
      <c r="B1019" t="s">
        <v>402</v>
      </c>
    </row>
    <row r="1020" spans="1:2" x14ac:dyDescent="0.4">
      <c r="A1020" t="s">
        <v>1375</v>
      </c>
      <c r="B1020" t="s">
        <v>405</v>
      </c>
    </row>
    <row r="1021" spans="1:2" x14ac:dyDescent="0.4">
      <c r="A1021" t="s">
        <v>1376</v>
      </c>
      <c r="B1021" t="s">
        <v>402</v>
      </c>
    </row>
    <row r="1022" spans="1:2" x14ac:dyDescent="0.4">
      <c r="A1022" t="s">
        <v>1377</v>
      </c>
      <c r="B1022" t="s">
        <v>344</v>
      </c>
    </row>
    <row r="1023" spans="1:2" x14ac:dyDescent="0.4">
      <c r="A1023" t="s">
        <v>1378</v>
      </c>
      <c r="B1023" t="s">
        <v>402</v>
      </c>
    </row>
    <row r="1024" spans="1:2" x14ac:dyDescent="0.4">
      <c r="A1024" t="s">
        <v>1379</v>
      </c>
      <c r="B1024" t="s">
        <v>425</v>
      </c>
    </row>
    <row r="1025" spans="1:2" x14ac:dyDescent="0.4">
      <c r="A1025" t="s">
        <v>1380</v>
      </c>
      <c r="B1025" t="s">
        <v>417</v>
      </c>
    </row>
    <row r="1026" spans="1:2" x14ac:dyDescent="0.4">
      <c r="A1026" t="s">
        <v>1381</v>
      </c>
      <c r="B1026" t="s">
        <v>406</v>
      </c>
    </row>
    <row r="1027" spans="1:2" x14ac:dyDescent="0.4">
      <c r="A1027" t="s">
        <v>1382</v>
      </c>
      <c r="B1027" t="s">
        <v>402</v>
      </c>
    </row>
    <row r="1028" spans="1:2" x14ac:dyDescent="0.4">
      <c r="A1028" t="s">
        <v>1383</v>
      </c>
      <c r="B1028" t="s">
        <v>466</v>
      </c>
    </row>
    <row r="1029" spans="1:2" x14ac:dyDescent="0.4">
      <c r="A1029" t="s">
        <v>1384</v>
      </c>
      <c r="B1029" t="s">
        <v>545</v>
      </c>
    </row>
    <row r="1030" spans="1:2" x14ac:dyDescent="0.4">
      <c r="A1030" t="s">
        <v>1385</v>
      </c>
      <c r="B1030" t="s">
        <v>957</v>
      </c>
    </row>
    <row r="1031" spans="1:2" x14ac:dyDescent="0.4">
      <c r="A1031" t="s">
        <v>1386</v>
      </c>
      <c r="B1031" t="s">
        <v>406</v>
      </c>
    </row>
    <row r="1032" spans="1:2" x14ac:dyDescent="0.4">
      <c r="A1032" t="s">
        <v>1387</v>
      </c>
      <c r="B1032" t="s">
        <v>458</v>
      </c>
    </row>
    <row r="1033" spans="1:2" x14ac:dyDescent="0.4">
      <c r="A1033" t="s">
        <v>1388</v>
      </c>
      <c r="B1033" t="s">
        <v>421</v>
      </c>
    </row>
    <row r="1034" spans="1:2" x14ac:dyDescent="0.4">
      <c r="A1034" t="s">
        <v>1389</v>
      </c>
      <c r="B1034" t="s">
        <v>402</v>
      </c>
    </row>
    <row r="1035" spans="1:2" x14ac:dyDescent="0.4">
      <c r="A1035" t="s">
        <v>1390</v>
      </c>
      <c r="B1035" t="s">
        <v>402</v>
      </c>
    </row>
    <row r="1036" spans="1:2" x14ac:dyDescent="0.4">
      <c r="A1036" t="s">
        <v>1391</v>
      </c>
      <c r="B1036" t="s">
        <v>458</v>
      </c>
    </row>
    <row r="1037" spans="1:2" x14ac:dyDescent="0.4">
      <c r="A1037" t="s">
        <v>1392</v>
      </c>
      <c r="B1037" t="s">
        <v>1329</v>
      </c>
    </row>
    <row r="1038" spans="1:2" x14ac:dyDescent="0.4">
      <c r="A1038" t="s">
        <v>1393</v>
      </c>
      <c r="B1038" t="s">
        <v>751</v>
      </c>
    </row>
    <row r="1039" spans="1:2" x14ac:dyDescent="0.4">
      <c r="A1039" t="s">
        <v>1394</v>
      </c>
      <c r="B1039" t="s">
        <v>343</v>
      </c>
    </row>
    <row r="1040" spans="1:2" x14ac:dyDescent="0.4">
      <c r="A1040" t="s">
        <v>1395</v>
      </c>
      <c r="B1040" t="s">
        <v>344</v>
      </c>
    </row>
    <row r="1041" spans="1:2" x14ac:dyDescent="0.4">
      <c r="A1041" t="s">
        <v>1396</v>
      </c>
      <c r="B1041" t="s">
        <v>406</v>
      </c>
    </row>
    <row r="1042" spans="1:2" x14ac:dyDescent="0.4">
      <c r="A1042" t="s">
        <v>1397</v>
      </c>
      <c r="B1042" t="s">
        <v>405</v>
      </c>
    </row>
    <row r="1043" spans="1:2" x14ac:dyDescent="0.4">
      <c r="A1043" t="s">
        <v>1398</v>
      </c>
      <c r="B1043" t="s">
        <v>405</v>
      </c>
    </row>
    <row r="1044" spans="1:2" x14ac:dyDescent="0.4">
      <c r="A1044" t="s">
        <v>1399</v>
      </c>
      <c r="B1044" t="s">
        <v>402</v>
      </c>
    </row>
    <row r="1045" spans="1:2" x14ac:dyDescent="0.4">
      <c r="A1045" t="s">
        <v>1400</v>
      </c>
      <c r="B1045" t="s">
        <v>464</v>
      </c>
    </row>
    <row r="1046" spans="1:2" x14ac:dyDescent="0.4">
      <c r="A1046" t="s">
        <v>1401</v>
      </c>
      <c r="B1046" t="s">
        <v>402</v>
      </c>
    </row>
    <row r="1047" spans="1:2" x14ac:dyDescent="0.4">
      <c r="A1047" t="s">
        <v>1402</v>
      </c>
      <c r="B1047" t="s">
        <v>416</v>
      </c>
    </row>
    <row r="1048" spans="1:2" x14ac:dyDescent="0.4">
      <c r="A1048" t="s">
        <v>1403</v>
      </c>
      <c r="B1048" t="s">
        <v>406</v>
      </c>
    </row>
    <row r="1049" spans="1:2" x14ac:dyDescent="0.4">
      <c r="A1049" t="s">
        <v>1404</v>
      </c>
      <c r="B1049" t="s">
        <v>545</v>
      </c>
    </row>
    <row r="1050" spans="1:2" x14ac:dyDescent="0.4">
      <c r="A1050" t="s">
        <v>1405</v>
      </c>
      <c r="B1050" t="s">
        <v>402</v>
      </c>
    </row>
    <row r="1051" spans="1:2" x14ac:dyDescent="0.4">
      <c r="A1051" t="s">
        <v>1406</v>
      </c>
      <c r="B1051" t="s">
        <v>406</v>
      </c>
    </row>
    <row r="1052" spans="1:2" x14ac:dyDescent="0.4">
      <c r="A1052" t="s">
        <v>1407</v>
      </c>
      <c r="B1052" t="s">
        <v>1266</v>
      </c>
    </row>
    <row r="1053" spans="1:2" x14ac:dyDescent="0.4">
      <c r="A1053" t="s">
        <v>1408</v>
      </c>
      <c r="B1053" t="s">
        <v>343</v>
      </c>
    </row>
    <row r="1054" spans="1:2" x14ac:dyDescent="0.4">
      <c r="A1054" t="s">
        <v>1409</v>
      </c>
      <c r="B1054" t="s">
        <v>344</v>
      </c>
    </row>
    <row r="1055" spans="1:2" x14ac:dyDescent="0.4">
      <c r="A1055" t="s">
        <v>1410</v>
      </c>
      <c r="B1055" t="s">
        <v>421</v>
      </c>
    </row>
    <row r="1056" spans="1:2" x14ac:dyDescent="0.4">
      <c r="A1056" t="s">
        <v>1411</v>
      </c>
      <c r="B1056" t="s">
        <v>466</v>
      </c>
    </row>
    <row r="1057" spans="1:2" x14ac:dyDescent="0.4">
      <c r="A1057" t="s">
        <v>1412</v>
      </c>
      <c r="B1057" t="s">
        <v>344</v>
      </c>
    </row>
    <row r="1058" spans="1:2" x14ac:dyDescent="0.4">
      <c r="A1058" t="s">
        <v>1413</v>
      </c>
      <c r="B1058" t="s">
        <v>402</v>
      </c>
    </row>
    <row r="1059" spans="1:2" x14ac:dyDescent="0.4">
      <c r="A1059" t="s">
        <v>1414</v>
      </c>
      <c r="B1059" t="s">
        <v>1415</v>
      </c>
    </row>
    <row r="1060" spans="1:2" x14ac:dyDescent="0.4">
      <c r="A1060" t="s">
        <v>1416</v>
      </c>
      <c r="B1060" t="s">
        <v>485</v>
      </c>
    </row>
    <row r="1061" spans="1:2" x14ac:dyDescent="0.4">
      <c r="A1061" t="s">
        <v>1417</v>
      </c>
      <c r="B1061" t="s">
        <v>458</v>
      </c>
    </row>
    <row r="1062" spans="1:2" x14ac:dyDescent="0.4">
      <c r="A1062" t="s">
        <v>1418</v>
      </c>
      <c r="B1062" t="s">
        <v>578</v>
      </c>
    </row>
    <row r="1063" spans="1:2" x14ac:dyDescent="0.4">
      <c r="A1063" t="s">
        <v>1419</v>
      </c>
      <c r="B1063" t="s">
        <v>612</v>
      </c>
    </row>
    <row r="1064" spans="1:2" x14ac:dyDescent="0.4">
      <c r="A1064" t="s">
        <v>1420</v>
      </c>
      <c r="B1064" t="s">
        <v>402</v>
      </c>
    </row>
    <row r="1065" spans="1:2" x14ac:dyDescent="0.4">
      <c r="A1065" t="s">
        <v>1421</v>
      </c>
      <c r="B1065" t="s">
        <v>1112</v>
      </c>
    </row>
    <row r="1066" spans="1:2" x14ac:dyDescent="0.4">
      <c r="A1066" t="s">
        <v>1422</v>
      </c>
      <c r="B1066" t="s">
        <v>612</v>
      </c>
    </row>
    <row r="1067" spans="1:2" x14ac:dyDescent="0.4">
      <c r="A1067" t="s">
        <v>1423</v>
      </c>
      <c r="B1067" t="s">
        <v>615</v>
      </c>
    </row>
    <row r="1068" spans="1:2" x14ac:dyDescent="0.4">
      <c r="A1068" t="s">
        <v>1424</v>
      </c>
      <c r="B1068" t="s">
        <v>545</v>
      </c>
    </row>
    <row r="1069" spans="1:2" x14ac:dyDescent="0.4">
      <c r="A1069" t="s">
        <v>1425</v>
      </c>
      <c r="B1069" t="s">
        <v>421</v>
      </c>
    </row>
    <row r="1070" spans="1:2" x14ac:dyDescent="0.4">
      <c r="A1070" t="s">
        <v>1426</v>
      </c>
      <c r="B1070" t="s">
        <v>550</v>
      </c>
    </row>
    <row r="1071" spans="1:2" x14ac:dyDescent="0.4">
      <c r="A1071" t="s">
        <v>1427</v>
      </c>
      <c r="B1071" t="s">
        <v>550</v>
      </c>
    </row>
    <row r="1072" spans="1:2" x14ac:dyDescent="0.4">
      <c r="A1072" t="s">
        <v>1428</v>
      </c>
      <c r="B1072" t="s">
        <v>466</v>
      </c>
    </row>
    <row r="1073" spans="1:2" x14ac:dyDescent="0.4">
      <c r="A1073" t="s">
        <v>1429</v>
      </c>
      <c r="B1073" t="s">
        <v>343</v>
      </c>
    </row>
    <row r="1074" spans="1:2" x14ac:dyDescent="0.4">
      <c r="A1074" t="s">
        <v>1430</v>
      </c>
      <c r="B1074" t="s">
        <v>402</v>
      </c>
    </row>
    <row r="1075" spans="1:2" x14ac:dyDescent="0.4">
      <c r="A1075" t="s">
        <v>1431</v>
      </c>
      <c r="B1075" t="s">
        <v>643</v>
      </c>
    </row>
    <row r="1076" spans="1:2" x14ac:dyDescent="0.4">
      <c r="A1076" t="s">
        <v>1432</v>
      </c>
      <c r="B1076" t="s">
        <v>405</v>
      </c>
    </row>
    <row r="1077" spans="1:2" x14ac:dyDescent="0.4">
      <c r="A1077" t="s">
        <v>1433</v>
      </c>
      <c r="B1077" t="s">
        <v>464</v>
      </c>
    </row>
    <row r="1078" spans="1:2" x14ac:dyDescent="0.4">
      <c r="A1078" t="s">
        <v>1434</v>
      </c>
      <c r="B1078" t="s">
        <v>578</v>
      </c>
    </row>
    <row r="1079" spans="1:2" x14ac:dyDescent="0.4">
      <c r="A1079" t="s">
        <v>1435</v>
      </c>
      <c r="B1079" t="s">
        <v>402</v>
      </c>
    </row>
    <row r="1080" spans="1:2" x14ac:dyDescent="0.4">
      <c r="A1080" t="s">
        <v>1436</v>
      </c>
      <c r="B1080" t="s">
        <v>1044</v>
      </c>
    </row>
    <row r="1081" spans="1:2" x14ac:dyDescent="0.4">
      <c r="A1081" t="s">
        <v>1437</v>
      </c>
      <c r="B1081" t="s">
        <v>1187</v>
      </c>
    </row>
    <row r="1082" spans="1:2" x14ac:dyDescent="0.4">
      <c r="A1082" t="s">
        <v>1438</v>
      </c>
      <c r="B1082" t="s">
        <v>413</v>
      </c>
    </row>
    <row r="1083" spans="1:2" x14ac:dyDescent="0.4">
      <c r="A1083" t="s">
        <v>1439</v>
      </c>
      <c r="B1083" t="s">
        <v>466</v>
      </c>
    </row>
    <row r="1084" spans="1:2" x14ac:dyDescent="0.4">
      <c r="A1084" t="s">
        <v>1440</v>
      </c>
      <c r="B1084" t="s">
        <v>466</v>
      </c>
    </row>
    <row r="1085" spans="1:2" x14ac:dyDescent="0.4">
      <c r="A1085" t="s">
        <v>1441</v>
      </c>
      <c r="B1085" t="s">
        <v>501</v>
      </c>
    </row>
    <row r="1086" spans="1:2" x14ac:dyDescent="0.4">
      <c r="A1086" t="s">
        <v>1442</v>
      </c>
      <c r="B1086" t="s">
        <v>1133</v>
      </c>
    </row>
    <row r="1087" spans="1:2" x14ac:dyDescent="0.4">
      <c r="A1087" t="s">
        <v>1443</v>
      </c>
      <c r="B1087" t="s">
        <v>343</v>
      </c>
    </row>
    <row r="1088" spans="1:2" x14ac:dyDescent="0.4">
      <c r="A1088" t="s">
        <v>1444</v>
      </c>
      <c r="B1088" t="s">
        <v>421</v>
      </c>
    </row>
    <row r="1089" spans="1:2" x14ac:dyDescent="0.4">
      <c r="A1089" t="s">
        <v>1445</v>
      </c>
      <c r="B1089" t="s">
        <v>859</v>
      </c>
    </row>
    <row r="1090" spans="1:2" x14ac:dyDescent="0.4">
      <c r="A1090" t="s">
        <v>1446</v>
      </c>
      <c r="B1090" t="s">
        <v>402</v>
      </c>
    </row>
    <row r="1091" spans="1:2" x14ac:dyDescent="0.4">
      <c r="A1091" t="s">
        <v>1447</v>
      </c>
      <c r="B1091" t="s">
        <v>455</v>
      </c>
    </row>
    <row r="1092" spans="1:2" x14ac:dyDescent="0.4">
      <c r="A1092" t="s">
        <v>1448</v>
      </c>
      <c r="B1092" t="s">
        <v>406</v>
      </c>
    </row>
    <row r="1093" spans="1:2" x14ac:dyDescent="0.4">
      <c r="A1093" t="s">
        <v>1449</v>
      </c>
      <c r="B1093" t="s">
        <v>344</v>
      </c>
    </row>
    <row r="1094" spans="1:2" x14ac:dyDescent="0.4">
      <c r="A1094" t="s">
        <v>1450</v>
      </c>
      <c r="B1094" t="s">
        <v>421</v>
      </c>
    </row>
    <row r="1095" spans="1:2" x14ac:dyDescent="0.4">
      <c r="A1095" t="s">
        <v>1451</v>
      </c>
      <c r="B1095" t="s">
        <v>466</v>
      </c>
    </row>
    <row r="1096" spans="1:2" x14ac:dyDescent="0.4">
      <c r="A1096" t="s">
        <v>1452</v>
      </c>
      <c r="B1096" t="s">
        <v>1044</v>
      </c>
    </row>
    <row r="1097" spans="1:2" x14ac:dyDescent="0.4">
      <c r="A1097" t="s">
        <v>1453</v>
      </c>
      <c r="B1097" t="s">
        <v>406</v>
      </c>
    </row>
    <row r="1098" spans="1:2" x14ac:dyDescent="0.4">
      <c r="A1098" t="s">
        <v>1454</v>
      </c>
      <c r="B1098" t="s">
        <v>421</v>
      </c>
    </row>
    <row r="1099" spans="1:2" x14ac:dyDescent="0.4">
      <c r="A1099" t="s">
        <v>1455</v>
      </c>
      <c r="B1099" t="s">
        <v>402</v>
      </c>
    </row>
    <row r="1100" spans="1:2" x14ac:dyDescent="0.4">
      <c r="A1100" t="s">
        <v>1456</v>
      </c>
      <c r="B1100" t="s">
        <v>405</v>
      </c>
    </row>
    <row r="1101" spans="1:2" x14ac:dyDescent="0.4">
      <c r="A1101" t="s">
        <v>1457</v>
      </c>
      <c r="B1101" t="s">
        <v>416</v>
      </c>
    </row>
    <row r="1102" spans="1:2" x14ac:dyDescent="0.4">
      <c r="A1102" t="s">
        <v>1458</v>
      </c>
      <c r="B1102" t="s">
        <v>1049</v>
      </c>
    </row>
    <row r="1103" spans="1:2" x14ac:dyDescent="0.4">
      <c r="A1103" t="s">
        <v>1459</v>
      </c>
      <c r="B1103" t="s">
        <v>550</v>
      </c>
    </row>
    <row r="1104" spans="1:2" x14ac:dyDescent="0.4">
      <c r="A1104" t="s">
        <v>1460</v>
      </c>
      <c r="B1104" t="s">
        <v>406</v>
      </c>
    </row>
    <row r="1105" spans="1:2" x14ac:dyDescent="0.4">
      <c r="A1105" t="s">
        <v>1461</v>
      </c>
      <c r="B1105" t="s">
        <v>578</v>
      </c>
    </row>
    <row r="1106" spans="1:2" x14ac:dyDescent="0.4">
      <c r="A1106" t="s">
        <v>1462</v>
      </c>
      <c r="B1106" t="s">
        <v>859</v>
      </c>
    </row>
    <row r="1107" spans="1:2" x14ac:dyDescent="0.4">
      <c r="A1107" t="s">
        <v>1463</v>
      </c>
      <c r="B1107" t="s">
        <v>1044</v>
      </c>
    </row>
    <row r="1108" spans="1:2" x14ac:dyDescent="0.4">
      <c r="A1108" t="s">
        <v>1464</v>
      </c>
      <c r="B1108" t="s">
        <v>479</v>
      </c>
    </row>
    <row r="1109" spans="1:2" x14ac:dyDescent="0.4">
      <c r="A1109" t="s">
        <v>1465</v>
      </c>
      <c r="B1109" t="s">
        <v>455</v>
      </c>
    </row>
    <row r="1110" spans="1:2" x14ac:dyDescent="0.4">
      <c r="A1110" t="s">
        <v>1466</v>
      </c>
      <c r="B1110" t="s">
        <v>402</v>
      </c>
    </row>
    <row r="1111" spans="1:2" x14ac:dyDescent="0.4">
      <c r="A1111" t="s">
        <v>1467</v>
      </c>
      <c r="B1111" t="s">
        <v>413</v>
      </c>
    </row>
    <row r="1112" spans="1:2" x14ac:dyDescent="0.4">
      <c r="A1112" t="s">
        <v>1468</v>
      </c>
      <c r="B1112" t="s">
        <v>612</v>
      </c>
    </row>
    <row r="1113" spans="1:2" x14ac:dyDescent="0.4">
      <c r="A1113" t="s">
        <v>1469</v>
      </c>
      <c r="B1113" t="s">
        <v>343</v>
      </c>
    </row>
    <row r="1114" spans="1:2" x14ac:dyDescent="0.4">
      <c r="A1114" t="s">
        <v>1470</v>
      </c>
      <c r="B1114" t="s">
        <v>407</v>
      </c>
    </row>
    <row r="1115" spans="1:2" x14ac:dyDescent="0.4">
      <c r="A1115" t="s">
        <v>1471</v>
      </c>
      <c r="B1115" t="s">
        <v>418</v>
      </c>
    </row>
    <row r="1116" spans="1:2" x14ac:dyDescent="0.4">
      <c r="A1116" t="s">
        <v>1472</v>
      </c>
      <c r="B1116" t="s">
        <v>407</v>
      </c>
    </row>
    <row r="1117" spans="1:2" x14ac:dyDescent="0.4">
      <c r="A1117" t="s">
        <v>1473</v>
      </c>
      <c r="B1117" t="s">
        <v>425</v>
      </c>
    </row>
    <row r="1118" spans="1:2" x14ac:dyDescent="0.4">
      <c r="A1118" t="s">
        <v>581</v>
      </c>
      <c r="B1118" t="s">
        <v>411</v>
      </c>
    </row>
    <row r="1119" spans="1:2" x14ac:dyDescent="0.4">
      <c r="A1119" t="s">
        <v>1474</v>
      </c>
      <c r="B1119" t="s">
        <v>411</v>
      </c>
    </row>
    <row r="1120" spans="1:2" x14ac:dyDescent="0.4">
      <c r="A1120" t="s">
        <v>1475</v>
      </c>
      <c r="B1120" t="s">
        <v>425</v>
      </c>
    </row>
    <row r="1121" spans="1:2" x14ac:dyDescent="0.4">
      <c r="A1121" t="s">
        <v>1476</v>
      </c>
      <c r="B1121" t="s">
        <v>1477</v>
      </c>
    </row>
    <row r="1122" spans="1:2" x14ac:dyDescent="0.4">
      <c r="A1122" t="s">
        <v>1478</v>
      </c>
      <c r="B1122" t="s">
        <v>418</v>
      </c>
    </row>
    <row r="1123" spans="1:2" x14ac:dyDescent="0.4">
      <c r="A1123" t="s">
        <v>1479</v>
      </c>
      <c r="B1123" t="s">
        <v>407</v>
      </c>
    </row>
    <row r="1124" spans="1:2" x14ac:dyDescent="0.4">
      <c r="A1124" t="s">
        <v>1480</v>
      </c>
      <c r="B1124" t="s">
        <v>412</v>
      </c>
    </row>
    <row r="1125" spans="1:2" x14ac:dyDescent="0.4">
      <c r="A1125" t="s">
        <v>452</v>
      </c>
      <c r="B1125" t="s">
        <v>407</v>
      </c>
    </row>
    <row r="1126" spans="1:2" x14ac:dyDescent="0.4">
      <c r="A1126" t="s">
        <v>1481</v>
      </c>
      <c r="B1126" t="s">
        <v>412</v>
      </c>
    </row>
    <row r="1127" spans="1:2" x14ac:dyDescent="0.4">
      <c r="A1127" t="s">
        <v>1482</v>
      </c>
      <c r="B1127" t="s">
        <v>418</v>
      </c>
    </row>
    <row r="1128" spans="1:2" x14ac:dyDescent="0.4">
      <c r="A1128" t="s">
        <v>1483</v>
      </c>
      <c r="B1128" t="s">
        <v>519</v>
      </c>
    </row>
    <row r="1129" spans="1:2" x14ac:dyDescent="0.4">
      <c r="A1129" t="s">
        <v>1484</v>
      </c>
      <c r="B1129" t="s">
        <v>461</v>
      </c>
    </row>
    <row r="1130" spans="1:2" x14ac:dyDescent="0.4">
      <c r="A1130" t="s">
        <v>1485</v>
      </c>
      <c r="B1130" t="s">
        <v>412</v>
      </c>
    </row>
    <row r="1131" spans="1:2" x14ac:dyDescent="0.4">
      <c r="A1131" t="s">
        <v>1486</v>
      </c>
      <c r="B1131" t="s">
        <v>425</v>
      </c>
    </row>
    <row r="1132" spans="1:2" x14ac:dyDescent="0.4">
      <c r="A1132" t="s">
        <v>1487</v>
      </c>
      <c r="B1132" t="s">
        <v>1101</v>
      </c>
    </row>
    <row r="1133" spans="1:2" x14ac:dyDescent="0.4">
      <c r="A1133" t="s">
        <v>1488</v>
      </c>
      <c r="B1133" t="s">
        <v>407</v>
      </c>
    </row>
    <row r="1134" spans="1:2" x14ac:dyDescent="0.4">
      <c r="A1134" t="s">
        <v>1489</v>
      </c>
      <c r="B1134" t="s">
        <v>425</v>
      </c>
    </row>
    <row r="1135" spans="1:2" x14ac:dyDescent="0.4">
      <c r="A1135" t="s">
        <v>1490</v>
      </c>
      <c r="B1135" t="s">
        <v>413</v>
      </c>
    </row>
    <row r="1136" spans="1:2" x14ac:dyDescent="0.4">
      <c r="A1136" t="s">
        <v>1491</v>
      </c>
      <c r="B1136" t="s">
        <v>345</v>
      </c>
    </row>
    <row r="1137" spans="1:2" x14ac:dyDescent="0.4">
      <c r="A1137" t="s">
        <v>1492</v>
      </c>
      <c r="B1137" t="s">
        <v>345</v>
      </c>
    </row>
    <row r="1138" spans="1:2" x14ac:dyDescent="0.4">
      <c r="A1138" t="s">
        <v>1493</v>
      </c>
      <c r="B1138" t="s">
        <v>345</v>
      </c>
    </row>
    <row r="1139" spans="1:2" x14ac:dyDescent="0.4">
      <c r="A1139" t="s">
        <v>1494</v>
      </c>
      <c r="B1139" t="s">
        <v>455</v>
      </c>
    </row>
    <row r="1140" spans="1:2" x14ac:dyDescent="0.4">
      <c r="A1140" t="s">
        <v>1495</v>
      </c>
      <c r="B1140" t="s">
        <v>349</v>
      </c>
    </row>
    <row r="1141" spans="1:2" x14ac:dyDescent="0.4">
      <c r="A1141" t="s">
        <v>1496</v>
      </c>
      <c r="B1141" t="s">
        <v>425</v>
      </c>
    </row>
    <row r="1142" spans="1:2" x14ac:dyDescent="0.4">
      <c r="A1142" t="s">
        <v>1497</v>
      </c>
      <c r="B1142" t="s">
        <v>425</v>
      </c>
    </row>
    <row r="1143" spans="1:2" x14ac:dyDescent="0.4">
      <c r="A1143" t="s">
        <v>1498</v>
      </c>
      <c r="B1143" t="s">
        <v>342</v>
      </c>
    </row>
    <row r="1144" spans="1:2" x14ac:dyDescent="0.4">
      <c r="A1144" t="s">
        <v>1499</v>
      </c>
      <c r="B1144" t="s">
        <v>1103</v>
      </c>
    </row>
    <row r="1145" spans="1:2" x14ac:dyDescent="0.4">
      <c r="A1145" t="s">
        <v>1500</v>
      </c>
      <c r="B1145" t="s">
        <v>342</v>
      </c>
    </row>
    <row r="1146" spans="1:2" x14ac:dyDescent="0.4">
      <c r="A1146" t="s">
        <v>1501</v>
      </c>
      <c r="B1146" t="s">
        <v>342</v>
      </c>
    </row>
    <row r="1147" spans="1:2" x14ac:dyDescent="0.4">
      <c r="A1147" t="s">
        <v>1502</v>
      </c>
      <c r="B1147" t="s">
        <v>342</v>
      </c>
    </row>
    <row r="1148" spans="1:2" x14ac:dyDescent="0.4">
      <c r="A1148" t="s">
        <v>1503</v>
      </c>
      <c r="B1148" t="s">
        <v>342</v>
      </c>
    </row>
    <row r="1149" spans="1:2" x14ac:dyDescent="0.4">
      <c r="A1149" t="s">
        <v>1504</v>
      </c>
      <c r="B1149" t="s">
        <v>475</v>
      </c>
    </row>
    <row r="1150" spans="1:2" x14ac:dyDescent="0.4">
      <c r="A1150" t="s">
        <v>1505</v>
      </c>
      <c r="B1150" t="s">
        <v>475</v>
      </c>
    </row>
    <row r="1151" spans="1:2" x14ac:dyDescent="0.4">
      <c r="A1151" t="s">
        <v>1506</v>
      </c>
      <c r="B1151" t="s">
        <v>475</v>
      </c>
    </row>
    <row r="1152" spans="1:2" x14ac:dyDescent="0.4">
      <c r="A1152" t="s">
        <v>1507</v>
      </c>
      <c r="B1152" t="s">
        <v>402</v>
      </c>
    </row>
    <row r="1153" spans="1:2" x14ac:dyDescent="0.4">
      <c r="A1153" t="s">
        <v>1508</v>
      </c>
      <c r="B1153" t="s">
        <v>1112</v>
      </c>
    </row>
    <row r="1154" spans="1:2" x14ac:dyDescent="0.4">
      <c r="A1154" t="s">
        <v>1509</v>
      </c>
      <c r="B1154" t="s">
        <v>402</v>
      </c>
    </row>
    <row r="1155" spans="1:2" x14ac:dyDescent="0.4">
      <c r="A1155" t="s">
        <v>1510</v>
      </c>
      <c r="B1155" t="s">
        <v>464</v>
      </c>
    </row>
    <row r="1156" spans="1:2" x14ac:dyDescent="0.4">
      <c r="A1156" t="s">
        <v>1511</v>
      </c>
      <c r="B1156" t="s">
        <v>344</v>
      </c>
    </row>
    <row r="1157" spans="1:2" x14ac:dyDescent="0.4">
      <c r="A1157" t="s">
        <v>1512</v>
      </c>
      <c r="B1157" t="s">
        <v>1513</v>
      </c>
    </row>
    <row r="1158" spans="1:2" x14ac:dyDescent="0.4">
      <c r="A1158" t="s">
        <v>552</v>
      </c>
      <c r="B1158" t="s">
        <v>402</v>
      </c>
    </row>
    <row r="1159" spans="1:2" x14ac:dyDescent="0.4">
      <c r="A1159" t="s">
        <v>1514</v>
      </c>
      <c r="B1159" t="s">
        <v>425</v>
      </c>
    </row>
    <row r="1160" spans="1:2" x14ac:dyDescent="0.4">
      <c r="A1160" t="s">
        <v>1515</v>
      </c>
      <c r="B1160" t="s">
        <v>344</v>
      </c>
    </row>
    <row r="1161" spans="1:2" x14ac:dyDescent="0.4">
      <c r="A1161" t="s">
        <v>1516</v>
      </c>
      <c r="B1161" t="s">
        <v>479</v>
      </c>
    </row>
    <row r="1162" spans="1:2" x14ac:dyDescent="0.4">
      <c r="A1162" t="s">
        <v>1517</v>
      </c>
      <c r="B1162" t="s">
        <v>1518</v>
      </c>
    </row>
    <row r="1163" spans="1:2" x14ac:dyDescent="0.4">
      <c r="A1163" t="s">
        <v>1519</v>
      </c>
      <c r="B1163" t="s">
        <v>402</v>
      </c>
    </row>
    <row r="1164" spans="1:2" x14ac:dyDescent="0.4">
      <c r="A1164" t="s">
        <v>1520</v>
      </c>
      <c r="B1164" t="s">
        <v>596</v>
      </c>
    </row>
    <row r="1165" spans="1:2" x14ac:dyDescent="0.4">
      <c r="A1165" t="s">
        <v>1521</v>
      </c>
      <c r="B1165" t="s">
        <v>743</v>
      </c>
    </row>
    <row r="1166" spans="1:2" x14ac:dyDescent="0.4">
      <c r="A1166" t="s">
        <v>1522</v>
      </c>
      <c r="B1166" t="s">
        <v>544</v>
      </c>
    </row>
    <row r="1167" spans="1:2" x14ac:dyDescent="0.4">
      <c r="A1167" t="s">
        <v>1523</v>
      </c>
      <c r="B1167" t="s">
        <v>1518</v>
      </c>
    </row>
    <row r="1168" spans="1:2" x14ac:dyDescent="0.4">
      <c r="A1168" t="s">
        <v>1524</v>
      </c>
      <c r="B1168" t="s">
        <v>402</v>
      </c>
    </row>
    <row r="1169" spans="1:2" x14ac:dyDescent="0.4">
      <c r="A1169" t="s">
        <v>1525</v>
      </c>
      <c r="B1169" t="s">
        <v>475</v>
      </c>
    </row>
    <row r="1170" spans="1:2" x14ac:dyDescent="0.4">
      <c r="A1170" t="s">
        <v>1526</v>
      </c>
      <c r="B1170" t="s">
        <v>402</v>
      </c>
    </row>
    <row r="1171" spans="1:2" x14ac:dyDescent="0.4">
      <c r="A1171" t="s">
        <v>1527</v>
      </c>
      <c r="B1171" t="s">
        <v>402</v>
      </c>
    </row>
    <row r="1172" spans="1:2" x14ac:dyDescent="0.4">
      <c r="A1172" t="s">
        <v>1528</v>
      </c>
      <c r="B1172" t="s">
        <v>425</v>
      </c>
    </row>
    <row r="1173" spans="1:2" x14ac:dyDescent="0.4">
      <c r="A1173" t="s">
        <v>1529</v>
      </c>
      <c r="B1173" t="s">
        <v>1530</v>
      </c>
    </row>
    <row r="1174" spans="1:2" x14ac:dyDescent="0.4">
      <c r="A1174" t="s">
        <v>1531</v>
      </c>
      <c r="B1174" t="s">
        <v>402</v>
      </c>
    </row>
    <row r="1175" spans="1:2" x14ac:dyDescent="0.4">
      <c r="A1175" t="s">
        <v>1532</v>
      </c>
      <c r="B1175" t="s">
        <v>348</v>
      </c>
    </row>
    <row r="1176" spans="1:2" x14ac:dyDescent="0.4">
      <c r="A1176" t="s">
        <v>1533</v>
      </c>
      <c r="B1176" t="s">
        <v>402</v>
      </c>
    </row>
    <row r="1177" spans="1:2" x14ac:dyDescent="0.4">
      <c r="A1177" t="s">
        <v>1534</v>
      </c>
      <c r="B1177" t="s">
        <v>402</v>
      </c>
    </row>
    <row r="1178" spans="1:2" x14ac:dyDescent="0.4">
      <c r="A1178" t="s">
        <v>1535</v>
      </c>
      <c r="B1178" t="s">
        <v>345</v>
      </c>
    </row>
    <row r="1179" spans="1:2" x14ac:dyDescent="0.4">
      <c r="A1179" t="s">
        <v>1536</v>
      </c>
      <c r="B1179" t="s">
        <v>347</v>
      </c>
    </row>
    <row r="1180" spans="1:2" x14ac:dyDescent="0.4">
      <c r="A1180" t="s">
        <v>1537</v>
      </c>
      <c r="B1180" t="s">
        <v>402</v>
      </c>
    </row>
    <row r="1181" spans="1:2" x14ac:dyDescent="0.4">
      <c r="A1181" t="s">
        <v>1538</v>
      </c>
      <c r="B1181" t="s">
        <v>345</v>
      </c>
    </row>
    <row r="1182" spans="1:2" x14ac:dyDescent="0.4">
      <c r="A1182" t="s">
        <v>1539</v>
      </c>
      <c r="B1182" t="s">
        <v>479</v>
      </c>
    </row>
    <row r="1183" spans="1:2" x14ac:dyDescent="0.4">
      <c r="A1183" t="s">
        <v>1540</v>
      </c>
      <c r="B1183" t="s">
        <v>643</v>
      </c>
    </row>
    <row r="1184" spans="1:2" x14ac:dyDescent="0.4">
      <c r="A1184" t="s">
        <v>1541</v>
      </c>
      <c r="B1184" t="s">
        <v>402</v>
      </c>
    </row>
    <row r="1185" spans="1:2" x14ac:dyDescent="0.4">
      <c r="A1185" t="s">
        <v>1542</v>
      </c>
      <c r="B1185" t="s">
        <v>402</v>
      </c>
    </row>
    <row r="1186" spans="1:2" x14ac:dyDescent="0.4">
      <c r="A1186" t="s">
        <v>1543</v>
      </c>
      <c r="B1186" t="s">
        <v>548</v>
      </c>
    </row>
    <row r="1187" spans="1:2" x14ac:dyDescent="0.4">
      <c r="A1187" t="s">
        <v>1544</v>
      </c>
      <c r="B1187" t="s">
        <v>501</v>
      </c>
    </row>
    <row r="1188" spans="1:2" x14ac:dyDescent="0.4">
      <c r="A1188" t="s">
        <v>1545</v>
      </c>
      <c r="B1188" t="s">
        <v>402</v>
      </c>
    </row>
    <row r="1189" spans="1:2" x14ac:dyDescent="0.4">
      <c r="A1189" t="s">
        <v>1546</v>
      </c>
      <c r="B1189" t="s">
        <v>402</v>
      </c>
    </row>
    <row r="1190" spans="1:2" x14ac:dyDescent="0.4">
      <c r="A1190" t="s">
        <v>1547</v>
      </c>
      <c r="B1190" t="s">
        <v>402</v>
      </c>
    </row>
    <row r="1191" spans="1:2" x14ac:dyDescent="0.4">
      <c r="A1191" t="s">
        <v>1548</v>
      </c>
      <c r="B1191" t="s">
        <v>466</v>
      </c>
    </row>
    <row r="1192" spans="1:2" x14ac:dyDescent="0.4">
      <c r="A1192" t="s">
        <v>1549</v>
      </c>
      <c r="B1192" t="s">
        <v>344</v>
      </c>
    </row>
    <row r="1193" spans="1:2" x14ac:dyDescent="0.4">
      <c r="A1193" t="s">
        <v>1550</v>
      </c>
      <c r="B1193" t="s">
        <v>402</v>
      </c>
    </row>
    <row r="1194" spans="1:2" x14ac:dyDescent="0.4">
      <c r="A1194" t="s">
        <v>1551</v>
      </c>
      <c r="B1194" t="s">
        <v>1044</v>
      </c>
    </row>
    <row r="1195" spans="1:2" x14ac:dyDescent="0.4">
      <c r="A1195" t="s">
        <v>1552</v>
      </c>
      <c r="B1195" t="s">
        <v>402</v>
      </c>
    </row>
    <row r="1196" spans="1:2" x14ac:dyDescent="0.4">
      <c r="A1196" t="s">
        <v>1553</v>
      </c>
      <c r="B1196" t="s">
        <v>872</v>
      </c>
    </row>
    <row r="1197" spans="1:2" x14ac:dyDescent="0.4">
      <c r="A1197" t="s">
        <v>1554</v>
      </c>
      <c r="B1197" t="s">
        <v>466</v>
      </c>
    </row>
    <row r="1198" spans="1:2" x14ac:dyDescent="0.4">
      <c r="A1198" t="s">
        <v>1555</v>
      </c>
      <c r="B1198" t="s">
        <v>402</v>
      </c>
    </row>
    <row r="1199" spans="1:2" x14ac:dyDescent="0.4">
      <c r="A1199" t="s">
        <v>560</v>
      </c>
      <c r="B1199" t="s">
        <v>402</v>
      </c>
    </row>
    <row r="1200" spans="1:2" x14ac:dyDescent="0.4">
      <c r="A1200" t="s">
        <v>1556</v>
      </c>
      <c r="B1200" t="s">
        <v>405</v>
      </c>
    </row>
    <row r="1201" spans="1:2" x14ac:dyDescent="0.4">
      <c r="A1201" t="s">
        <v>1557</v>
      </c>
      <c r="B1201" t="s">
        <v>1558</v>
      </c>
    </row>
    <row r="1202" spans="1:2" x14ac:dyDescent="0.4">
      <c r="A1202" t="s">
        <v>1559</v>
      </c>
      <c r="B1202" t="s">
        <v>343</v>
      </c>
    </row>
    <row r="1203" spans="1:2" x14ac:dyDescent="0.4">
      <c r="A1203" t="s">
        <v>1560</v>
      </c>
      <c r="B1203" t="s">
        <v>343</v>
      </c>
    </row>
    <row r="1204" spans="1:2" x14ac:dyDescent="0.4">
      <c r="A1204" t="s">
        <v>1561</v>
      </c>
      <c r="B1204" t="s">
        <v>417</v>
      </c>
    </row>
    <row r="1205" spans="1:2" x14ac:dyDescent="0.4">
      <c r="A1205" t="s">
        <v>1562</v>
      </c>
      <c r="B1205" t="s">
        <v>1049</v>
      </c>
    </row>
    <row r="1206" spans="1:2" x14ac:dyDescent="0.4">
      <c r="A1206" t="s">
        <v>1563</v>
      </c>
      <c r="B1206" t="s">
        <v>1518</v>
      </c>
    </row>
    <row r="1207" spans="1:2" x14ac:dyDescent="0.4">
      <c r="A1207" t="s">
        <v>1564</v>
      </c>
      <c r="B1207" t="s">
        <v>612</v>
      </c>
    </row>
    <row r="1208" spans="1:2" x14ac:dyDescent="0.4">
      <c r="A1208" t="s">
        <v>1565</v>
      </c>
      <c r="B1208" t="s">
        <v>612</v>
      </c>
    </row>
    <row r="1209" spans="1:2" x14ac:dyDescent="0.4">
      <c r="A1209" t="s">
        <v>1566</v>
      </c>
      <c r="B1209" t="s">
        <v>612</v>
      </c>
    </row>
    <row r="1210" spans="1:2" x14ac:dyDescent="0.4">
      <c r="A1210" t="s">
        <v>616</v>
      </c>
      <c r="B1210" t="s">
        <v>416</v>
      </c>
    </row>
    <row r="1211" spans="1:2" x14ac:dyDescent="0.4">
      <c r="A1211" t="s">
        <v>1567</v>
      </c>
      <c r="B1211" t="s">
        <v>458</v>
      </c>
    </row>
    <row r="1212" spans="1:2" x14ac:dyDescent="0.4">
      <c r="A1212" t="s">
        <v>1568</v>
      </c>
      <c r="B1212" t="s">
        <v>544</v>
      </c>
    </row>
    <row r="1213" spans="1:2" x14ac:dyDescent="0.4">
      <c r="A1213" t="s">
        <v>621</v>
      </c>
      <c r="B1213" t="s">
        <v>405</v>
      </c>
    </row>
    <row r="1214" spans="1:2" x14ac:dyDescent="0.4">
      <c r="A1214" t="s">
        <v>1569</v>
      </c>
      <c r="B1214" t="s">
        <v>405</v>
      </c>
    </row>
    <row r="1215" spans="1:2" x14ac:dyDescent="0.4">
      <c r="A1215" t="s">
        <v>1570</v>
      </c>
      <c r="B1215" t="s">
        <v>411</v>
      </c>
    </row>
    <row r="1216" spans="1:2" x14ac:dyDescent="0.4">
      <c r="A1216" t="s">
        <v>1571</v>
      </c>
      <c r="B1216" t="s">
        <v>485</v>
      </c>
    </row>
    <row r="1217" spans="1:2" x14ac:dyDescent="0.4">
      <c r="A1217" t="s">
        <v>1572</v>
      </c>
      <c r="B1217" t="s">
        <v>1315</v>
      </c>
    </row>
    <row r="1218" spans="1:2" x14ac:dyDescent="0.4">
      <c r="A1218" t="s">
        <v>1573</v>
      </c>
      <c r="B1218" t="s">
        <v>957</v>
      </c>
    </row>
    <row r="1219" spans="1:2" x14ac:dyDescent="0.4">
      <c r="A1219" t="s">
        <v>1574</v>
      </c>
      <c r="B1219" t="s">
        <v>485</v>
      </c>
    </row>
    <row r="1220" spans="1:2" x14ac:dyDescent="0.4">
      <c r="A1220" t="s">
        <v>1575</v>
      </c>
      <c r="B1220" t="s">
        <v>347</v>
      </c>
    </row>
    <row r="1221" spans="1:2" x14ac:dyDescent="0.4">
      <c r="A1221" t="s">
        <v>1576</v>
      </c>
      <c r="B1221" t="s">
        <v>402</v>
      </c>
    </row>
    <row r="1222" spans="1:2" x14ac:dyDescent="0.4">
      <c r="A1222" t="s">
        <v>1577</v>
      </c>
      <c r="B1222" t="s">
        <v>872</v>
      </c>
    </row>
    <row r="1223" spans="1:2" x14ac:dyDescent="0.4">
      <c r="A1223" t="s">
        <v>1578</v>
      </c>
      <c r="B1223" t="s">
        <v>344</v>
      </c>
    </row>
    <row r="1224" spans="1:2" x14ac:dyDescent="0.4">
      <c r="A1224" t="s">
        <v>1579</v>
      </c>
      <c r="B1224" t="s">
        <v>417</v>
      </c>
    </row>
    <row r="1225" spans="1:2" x14ac:dyDescent="0.4">
      <c r="A1225" t="s">
        <v>546</v>
      </c>
      <c r="B1225" t="s">
        <v>405</v>
      </c>
    </row>
    <row r="1226" spans="1:2" x14ac:dyDescent="0.4">
      <c r="A1226" t="s">
        <v>1580</v>
      </c>
      <c r="B1226" t="s">
        <v>416</v>
      </c>
    </row>
    <row r="1227" spans="1:2" x14ac:dyDescent="0.4">
      <c r="A1227" t="s">
        <v>1581</v>
      </c>
      <c r="B1227" t="s">
        <v>458</v>
      </c>
    </row>
    <row r="1228" spans="1:2" x14ac:dyDescent="0.4">
      <c r="A1228" t="s">
        <v>1582</v>
      </c>
      <c r="B1228" t="s">
        <v>1583</v>
      </c>
    </row>
    <row r="1229" spans="1:2" x14ac:dyDescent="0.4">
      <c r="A1229" t="s">
        <v>1584</v>
      </c>
      <c r="B1229" t="s">
        <v>485</v>
      </c>
    </row>
    <row r="1230" spans="1:2" x14ac:dyDescent="0.4">
      <c r="A1230" t="s">
        <v>1585</v>
      </c>
      <c r="B1230" t="s">
        <v>458</v>
      </c>
    </row>
    <row r="1231" spans="1:2" x14ac:dyDescent="0.4">
      <c r="A1231" t="s">
        <v>1586</v>
      </c>
      <c r="B1231" t="s">
        <v>343</v>
      </c>
    </row>
    <row r="1232" spans="1:2" x14ac:dyDescent="0.4">
      <c r="A1232" t="s">
        <v>1587</v>
      </c>
      <c r="B1232" t="s">
        <v>458</v>
      </c>
    </row>
    <row r="1233" spans="1:2" x14ac:dyDescent="0.4">
      <c r="A1233" t="s">
        <v>1588</v>
      </c>
      <c r="B1233" t="s">
        <v>417</v>
      </c>
    </row>
    <row r="1234" spans="1:2" x14ac:dyDescent="0.4">
      <c r="A1234" t="s">
        <v>1589</v>
      </c>
      <c r="B1234" t="s">
        <v>417</v>
      </c>
    </row>
    <row r="1235" spans="1:2" x14ac:dyDescent="0.4">
      <c r="A1235" t="s">
        <v>1590</v>
      </c>
      <c r="B1235" t="s">
        <v>416</v>
      </c>
    </row>
    <row r="1236" spans="1:2" x14ac:dyDescent="0.4">
      <c r="A1236" t="s">
        <v>1591</v>
      </c>
      <c r="B1236" t="s">
        <v>485</v>
      </c>
    </row>
    <row r="1237" spans="1:2" x14ac:dyDescent="0.4">
      <c r="A1237" t="s">
        <v>1592</v>
      </c>
      <c r="B1237" t="s">
        <v>343</v>
      </c>
    </row>
    <row r="1238" spans="1:2" x14ac:dyDescent="0.4">
      <c r="A1238" t="s">
        <v>1593</v>
      </c>
      <c r="B1238" t="s">
        <v>872</v>
      </c>
    </row>
    <row r="1239" spans="1:2" x14ac:dyDescent="0.4">
      <c r="A1239" t="s">
        <v>1594</v>
      </c>
      <c r="B1239" t="s">
        <v>485</v>
      </c>
    </row>
    <row r="1240" spans="1:2" x14ac:dyDescent="0.4">
      <c r="A1240" t="s">
        <v>1595</v>
      </c>
      <c r="B1240" t="s">
        <v>872</v>
      </c>
    </row>
    <row r="1241" spans="1:2" x14ac:dyDescent="0.4">
      <c r="A1241" t="s">
        <v>1596</v>
      </c>
      <c r="B1241" t="s">
        <v>455</v>
      </c>
    </row>
    <row r="1242" spans="1:2" x14ac:dyDescent="0.4">
      <c r="A1242" t="s">
        <v>1597</v>
      </c>
      <c r="B1242" t="s">
        <v>1598</v>
      </c>
    </row>
    <row r="1243" spans="1:2" x14ac:dyDescent="0.4">
      <c r="A1243" t="s">
        <v>1599</v>
      </c>
      <c r="B1243" t="s">
        <v>343</v>
      </c>
    </row>
    <row r="1244" spans="1:2" x14ac:dyDescent="0.4">
      <c r="A1244" t="s">
        <v>1600</v>
      </c>
      <c r="B1244" t="s">
        <v>544</v>
      </c>
    </row>
    <row r="1245" spans="1:2" x14ac:dyDescent="0.4">
      <c r="A1245" t="s">
        <v>1601</v>
      </c>
      <c r="B1245" t="s">
        <v>743</v>
      </c>
    </row>
    <row r="1246" spans="1:2" x14ac:dyDescent="0.4">
      <c r="A1246" t="s">
        <v>1602</v>
      </c>
      <c r="B1246" t="s">
        <v>643</v>
      </c>
    </row>
    <row r="1247" spans="1:2" x14ac:dyDescent="0.4">
      <c r="A1247" t="s">
        <v>1603</v>
      </c>
      <c r="B1247" t="s">
        <v>957</v>
      </c>
    </row>
    <row r="1248" spans="1:2" x14ac:dyDescent="0.4">
      <c r="A1248" t="s">
        <v>1604</v>
      </c>
      <c r="B1248" t="s">
        <v>458</v>
      </c>
    </row>
    <row r="1249" spans="1:2" x14ac:dyDescent="0.4">
      <c r="A1249" t="s">
        <v>1605</v>
      </c>
      <c r="B1249" t="s">
        <v>550</v>
      </c>
    </row>
    <row r="1250" spans="1:2" x14ac:dyDescent="0.4">
      <c r="A1250" t="s">
        <v>1606</v>
      </c>
      <c r="B1250" t="s">
        <v>458</v>
      </c>
    </row>
    <row r="1251" spans="1:2" x14ac:dyDescent="0.4">
      <c r="A1251" t="s">
        <v>1607</v>
      </c>
      <c r="B1251" t="s">
        <v>957</v>
      </c>
    </row>
    <row r="1252" spans="1:2" x14ac:dyDescent="0.4">
      <c r="A1252" t="s">
        <v>1608</v>
      </c>
      <c r="B1252" t="s">
        <v>406</v>
      </c>
    </row>
    <row r="1253" spans="1:2" x14ac:dyDescent="0.4">
      <c r="A1253" t="s">
        <v>1609</v>
      </c>
      <c r="B1253" t="s">
        <v>343</v>
      </c>
    </row>
    <row r="1254" spans="1:2" x14ac:dyDescent="0.4">
      <c r="A1254" t="s">
        <v>1610</v>
      </c>
      <c r="B1254" t="s">
        <v>545</v>
      </c>
    </row>
    <row r="1255" spans="1:2" x14ac:dyDescent="0.4">
      <c r="A1255" t="s">
        <v>1611</v>
      </c>
      <c r="B1255" t="s">
        <v>550</v>
      </c>
    </row>
    <row r="1256" spans="1:2" x14ac:dyDescent="0.4">
      <c r="A1256" t="s">
        <v>1612</v>
      </c>
      <c r="B1256" t="s">
        <v>472</v>
      </c>
    </row>
    <row r="1257" spans="1:2" x14ac:dyDescent="0.4">
      <c r="A1257" t="s">
        <v>1613</v>
      </c>
      <c r="B1257" t="s">
        <v>472</v>
      </c>
    </row>
    <row r="1258" spans="1:2" x14ac:dyDescent="0.4">
      <c r="A1258" t="s">
        <v>1614</v>
      </c>
      <c r="B1258" t="s">
        <v>1255</v>
      </c>
    </row>
    <row r="1259" spans="1:2" x14ac:dyDescent="0.4">
      <c r="A1259" t="s">
        <v>1615</v>
      </c>
      <c r="B1259" t="s">
        <v>343</v>
      </c>
    </row>
    <row r="1260" spans="1:2" x14ac:dyDescent="0.4">
      <c r="A1260" t="s">
        <v>1616</v>
      </c>
      <c r="B1260" t="s">
        <v>1266</v>
      </c>
    </row>
    <row r="1261" spans="1:2" x14ac:dyDescent="0.4">
      <c r="A1261" t="s">
        <v>1617</v>
      </c>
      <c r="B1261" t="s">
        <v>1266</v>
      </c>
    </row>
    <row r="1262" spans="1:2" x14ac:dyDescent="0.4">
      <c r="A1262" t="s">
        <v>1618</v>
      </c>
      <c r="B1262" t="s">
        <v>1133</v>
      </c>
    </row>
    <row r="1263" spans="1:2" x14ac:dyDescent="0.4">
      <c r="A1263" t="s">
        <v>1619</v>
      </c>
      <c r="B1263" t="s">
        <v>402</v>
      </c>
    </row>
    <row r="1264" spans="1:2" x14ac:dyDescent="0.4">
      <c r="A1264" t="s">
        <v>1620</v>
      </c>
      <c r="B1264" t="s">
        <v>343</v>
      </c>
    </row>
    <row r="1265" spans="1:2" x14ac:dyDescent="0.4">
      <c r="A1265" t="s">
        <v>1621</v>
      </c>
      <c r="B1265" t="s">
        <v>402</v>
      </c>
    </row>
    <row r="1266" spans="1:2" x14ac:dyDescent="0.4">
      <c r="A1266" t="s">
        <v>1622</v>
      </c>
      <c r="B1266" t="s">
        <v>343</v>
      </c>
    </row>
    <row r="1267" spans="1:2" x14ac:dyDescent="0.4">
      <c r="A1267" t="s">
        <v>1623</v>
      </c>
      <c r="B1267" t="s">
        <v>417</v>
      </c>
    </row>
    <row r="1268" spans="1:2" x14ac:dyDescent="0.4">
      <c r="A1268" t="s">
        <v>1624</v>
      </c>
      <c r="B1268" t="s">
        <v>417</v>
      </c>
    </row>
    <row r="1269" spans="1:2" x14ac:dyDescent="0.4">
      <c r="A1269" t="s">
        <v>1625</v>
      </c>
      <c r="B1269" t="s">
        <v>421</v>
      </c>
    </row>
    <row r="1270" spans="1:2" x14ac:dyDescent="0.4">
      <c r="A1270" t="s">
        <v>1626</v>
      </c>
      <c r="B1270" t="s">
        <v>417</v>
      </c>
    </row>
    <row r="1271" spans="1:2" x14ac:dyDescent="0.4">
      <c r="A1271" t="s">
        <v>1627</v>
      </c>
      <c r="B1271" t="s">
        <v>550</v>
      </c>
    </row>
    <row r="1272" spans="1:2" x14ac:dyDescent="0.4">
      <c r="A1272" t="s">
        <v>1628</v>
      </c>
      <c r="B1272" t="s">
        <v>402</v>
      </c>
    </row>
    <row r="1273" spans="1:2" x14ac:dyDescent="0.4">
      <c r="A1273" t="s">
        <v>1629</v>
      </c>
      <c r="B1273" t="s">
        <v>421</v>
      </c>
    </row>
    <row r="1274" spans="1:2" x14ac:dyDescent="0.4">
      <c r="A1274" t="s">
        <v>1630</v>
      </c>
      <c r="B1274" t="s">
        <v>550</v>
      </c>
    </row>
    <row r="1275" spans="1:2" x14ac:dyDescent="0.4">
      <c r="A1275" t="s">
        <v>1631</v>
      </c>
      <c r="B1275" t="s">
        <v>416</v>
      </c>
    </row>
    <row r="1276" spans="1:2" x14ac:dyDescent="0.4">
      <c r="A1276" t="s">
        <v>1632</v>
      </c>
      <c r="B1276" t="s">
        <v>458</v>
      </c>
    </row>
    <row r="1277" spans="1:2" x14ac:dyDescent="0.4">
      <c r="A1277" t="s">
        <v>1633</v>
      </c>
      <c r="B1277" t="s">
        <v>1315</v>
      </c>
    </row>
    <row r="1278" spans="1:2" x14ac:dyDescent="0.4">
      <c r="A1278" t="s">
        <v>1634</v>
      </c>
      <c r="B1278" t="s">
        <v>416</v>
      </c>
    </row>
    <row r="1279" spans="1:2" x14ac:dyDescent="0.4">
      <c r="A1279" t="s">
        <v>1635</v>
      </c>
      <c r="B1279" t="s">
        <v>413</v>
      </c>
    </row>
    <row r="1280" spans="1:2" x14ac:dyDescent="0.4">
      <c r="A1280" t="s">
        <v>1636</v>
      </c>
      <c r="B1280" t="s">
        <v>402</v>
      </c>
    </row>
    <row r="1281" spans="1:2" x14ac:dyDescent="0.4">
      <c r="A1281" t="s">
        <v>1637</v>
      </c>
      <c r="B1281" t="s">
        <v>402</v>
      </c>
    </row>
    <row r="1282" spans="1:2" x14ac:dyDescent="0.4">
      <c r="A1282" t="s">
        <v>1638</v>
      </c>
      <c r="B1282" t="s">
        <v>406</v>
      </c>
    </row>
    <row r="1283" spans="1:2" x14ac:dyDescent="0.4">
      <c r="A1283" t="s">
        <v>1639</v>
      </c>
      <c r="B1283" t="s">
        <v>344</v>
      </c>
    </row>
    <row r="1284" spans="1:2" x14ac:dyDescent="0.4">
      <c r="A1284" t="s">
        <v>1640</v>
      </c>
      <c r="B1284" t="s">
        <v>544</v>
      </c>
    </row>
    <row r="1285" spans="1:2" x14ac:dyDescent="0.4">
      <c r="A1285" t="s">
        <v>1641</v>
      </c>
      <c r="B1285" t="s">
        <v>421</v>
      </c>
    </row>
    <row r="1286" spans="1:2" x14ac:dyDescent="0.4">
      <c r="A1286" t="s">
        <v>1642</v>
      </c>
      <c r="B1286" t="s">
        <v>545</v>
      </c>
    </row>
    <row r="1287" spans="1:2" x14ac:dyDescent="0.4">
      <c r="A1287" t="s">
        <v>1643</v>
      </c>
      <c r="B1287" t="s">
        <v>421</v>
      </c>
    </row>
    <row r="1288" spans="1:2" x14ac:dyDescent="0.4">
      <c r="A1288" t="s">
        <v>1644</v>
      </c>
      <c r="B1288" t="s">
        <v>416</v>
      </c>
    </row>
    <row r="1289" spans="1:2" x14ac:dyDescent="0.4">
      <c r="A1289" t="s">
        <v>1645</v>
      </c>
      <c r="B1289" t="s">
        <v>402</v>
      </c>
    </row>
    <row r="1290" spans="1:2" x14ac:dyDescent="0.4">
      <c r="A1290" t="s">
        <v>1646</v>
      </c>
      <c r="B1290" t="s">
        <v>458</v>
      </c>
    </row>
    <row r="1291" spans="1:2" x14ac:dyDescent="0.4">
      <c r="A1291" t="s">
        <v>606</v>
      </c>
      <c r="B1291" t="s">
        <v>405</v>
      </c>
    </row>
    <row r="1292" spans="1:2" x14ac:dyDescent="0.4">
      <c r="A1292" t="s">
        <v>1647</v>
      </c>
      <c r="B1292" t="s">
        <v>405</v>
      </c>
    </row>
    <row r="1293" spans="1:2" x14ac:dyDescent="0.4">
      <c r="A1293" t="s">
        <v>1648</v>
      </c>
      <c r="B1293" t="s">
        <v>343</v>
      </c>
    </row>
    <row r="1294" spans="1:2" x14ac:dyDescent="0.4">
      <c r="A1294" t="s">
        <v>1649</v>
      </c>
      <c r="B1294" t="s">
        <v>416</v>
      </c>
    </row>
    <row r="1295" spans="1:2" x14ac:dyDescent="0.4">
      <c r="A1295" t="s">
        <v>1650</v>
      </c>
      <c r="B1295" t="s">
        <v>416</v>
      </c>
    </row>
    <row r="1296" spans="1:2" x14ac:dyDescent="0.4">
      <c r="A1296" t="s">
        <v>1651</v>
      </c>
      <c r="B1296" t="s">
        <v>1044</v>
      </c>
    </row>
    <row r="1297" spans="1:2" x14ac:dyDescent="0.4">
      <c r="A1297" t="s">
        <v>1652</v>
      </c>
      <c r="B1297" t="s">
        <v>406</v>
      </c>
    </row>
    <row r="1298" spans="1:2" x14ac:dyDescent="0.4">
      <c r="A1298" t="s">
        <v>1653</v>
      </c>
      <c r="B1298" t="s">
        <v>472</v>
      </c>
    </row>
    <row r="1299" spans="1:2" x14ac:dyDescent="0.4">
      <c r="A1299" t="s">
        <v>1654</v>
      </c>
      <c r="B1299" t="s">
        <v>643</v>
      </c>
    </row>
    <row r="1300" spans="1:2" x14ac:dyDescent="0.4">
      <c r="A1300" t="s">
        <v>1655</v>
      </c>
      <c r="B1300" t="s">
        <v>417</v>
      </c>
    </row>
    <row r="1301" spans="1:2" x14ac:dyDescent="0.4">
      <c r="A1301" t="s">
        <v>1656</v>
      </c>
      <c r="B1301" t="s">
        <v>485</v>
      </c>
    </row>
    <row r="1302" spans="1:2" x14ac:dyDescent="0.4">
      <c r="A1302" t="s">
        <v>1657</v>
      </c>
      <c r="B1302" t="s">
        <v>859</v>
      </c>
    </row>
    <row r="1303" spans="1:2" x14ac:dyDescent="0.4">
      <c r="A1303" t="s">
        <v>1658</v>
      </c>
      <c r="B1303" t="s">
        <v>590</v>
      </c>
    </row>
    <row r="1304" spans="1:2" x14ac:dyDescent="0.4">
      <c r="A1304" t="s">
        <v>1659</v>
      </c>
      <c r="B1304" t="s">
        <v>479</v>
      </c>
    </row>
    <row r="1305" spans="1:2" x14ac:dyDescent="0.4">
      <c r="A1305" t="s">
        <v>1660</v>
      </c>
      <c r="B1305" t="s">
        <v>349</v>
      </c>
    </row>
    <row r="1306" spans="1:2" x14ac:dyDescent="0.4">
      <c r="A1306" t="s">
        <v>1661</v>
      </c>
      <c r="B1306" t="s">
        <v>888</v>
      </c>
    </row>
    <row r="1307" spans="1:2" x14ac:dyDescent="0.4">
      <c r="A1307" t="s">
        <v>1662</v>
      </c>
      <c r="B1307" t="s">
        <v>590</v>
      </c>
    </row>
    <row r="1308" spans="1:2" x14ac:dyDescent="0.4">
      <c r="A1308" t="s">
        <v>1663</v>
      </c>
      <c r="B1308" t="s">
        <v>421</v>
      </c>
    </row>
    <row r="1309" spans="1:2" x14ac:dyDescent="0.4">
      <c r="A1309" t="s">
        <v>1664</v>
      </c>
      <c r="B1309" t="s">
        <v>344</v>
      </c>
    </row>
    <row r="1310" spans="1:2" x14ac:dyDescent="0.4">
      <c r="A1310" t="s">
        <v>1665</v>
      </c>
      <c r="B1310" t="s">
        <v>348</v>
      </c>
    </row>
    <row r="1311" spans="1:2" x14ac:dyDescent="0.4">
      <c r="A1311" t="s">
        <v>1666</v>
      </c>
      <c r="B1311" t="s">
        <v>1112</v>
      </c>
    </row>
    <row r="1312" spans="1:2" x14ac:dyDescent="0.4">
      <c r="A1312" t="s">
        <v>1667</v>
      </c>
      <c r="B1312" t="s">
        <v>343</v>
      </c>
    </row>
    <row r="1313" spans="1:2" x14ac:dyDescent="0.4">
      <c r="A1313" t="s">
        <v>1668</v>
      </c>
      <c r="B1313" t="s">
        <v>343</v>
      </c>
    </row>
    <row r="1314" spans="1:2" x14ac:dyDescent="0.4">
      <c r="A1314" t="s">
        <v>1669</v>
      </c>
      <c r="B1314" t="s">
        <v>479</v>
      </c>
    </row>
    <row r="1315" spans="1:2" x14ac:dyDescent="0.4">
      <c r="A1315" t="s">
        <v>1670</v>
      </c>
      <c r="B1315" t="s">
        <v>590</v>
      </c>
    </row>
    <row r="1316" spans="1:2" x14ac:dyDescent="0.4">
      <c r="A1316" t="s">
        <v>1671</v>
      </c>
      <c r="B1316" t="s">
        <v>417</v>
      </c>
    </row>
    <row r="1317" spans="1:2" x14ac:dyDescent="0.4">
      <c r="A1317" t="s">
        <v>1672</v>
      </c>
      <c r="B1317" t="s">
        <v>425</v>
      </c>
    </row>
    <row r="1318" spans="1:2" x14ac:dyDescent="0.4">
      <c r="A1318" t="s">
        <v>1673</v>
      </c>
      <c r="B1318" t="s">
        <v>411</v>
      </c>
    </row>
    <row r="1319" spans="1:2" x14ac:dyDescent="0.4">
      <c r="A1319" t="s">
        <v>1674</v>
      </c>
      <c r="B1319" t="s">
        <v>411</v>
      </c>
    </row>
    <row r="1320" spans="1:2" x14ac:dyDescent="0.4">
      <c r="A1320" t="s">
        <v>1675</v>
      </c>
      <c r="B1320" t="s">
        <v>411</v>
      </c>
    </row>
    <row r="1321" spans="1:2" x14ac:dyDescent="0.4">
      <c r="A1321" t="s">
        <v>1676</v>
      </c>
      <c r="B1321" t="s">
        <v>411</v>
      </c>
    </row>
    <row r="1322" spans="1:2" x14ac:dyDescent="0.4">
      <c r="A1322" t="s">
        <v>1677</v>
      </c>
      <c r="B1322" t="s">
        <v>411</v>
      </c>
    </row>
    <row r="1323" spans="1:2" x14ac:dyDescent="0.4">
      <c r="A1323" t="s">
        <v>1678</v>
      </c>
      <c r="B1323" t="s">
        <v>407</v>
      </c>
    </row>
    <row r="1324" spans="1:2" x14ac:dyDescent="0.4">
      <c r="A1324" t="s">
        <v>1679</v>
      </c>
      <c r="B1324" t="s">
        <v>1184</v>
      </c>
    </row>
    <row r="1325" spans="1:2" x14ac:dyDescent="0.4">
      <c r="A1325" t="s">
        <v>1680</v>
      </c>
      <c r="B1325" t="s">
        <v>461</v>
      </c>
    </row>
    <row r="1326" spans="1:2" x14ac:dyDescent="0.4">
      <c r="A1326" t="s">
        <v>1681</v>
      </c>
      <c r="B1326" t="s">
        <v>407</v>
      </c>
    </row>
    <row r="1327" spans="1:2" x14ac:dyDescent="0.4">
      <c r="A1327" t="s">
        <v>1682</v>
      </c>
      <c r="B1327" t="s">
        <v>1187</v>
      </c>
    </row>
    <row r="1328" spans="1:2" x14ac:dyDescent="0.4">
      <c r="A1328" t="s">
        <v>1683</v>
      </c>
      <c r="B1328" t="s">
        <v>461</v>
      </c>
    </row>
    <row r="1329" spans="1:2" x14ac:dyDescent="0.4">
      <c r="A1329" t="s">
        <v>1684</v>
      </c>
      <c r="B1329" t="s">
        <v>1101</v>
      </c>
    </row>
    <row r="1330" spans="1:2" x14ac:dyDescent="0.4">
      <c r="A1330" t="s">
        <v>1685</v>
      </c>
      <c r="B1330" t="s">
        <v>411</v>
      </c>
    </row>
    <row r="1331" spans="1:2" x14ac:dyDescent="0.4">
      <c r="A1331" t="s">
        <v>1686</v>
      </c>
      <c r="B1331" t="s">
        <v>407</v>
      </c>
    </row>
    <row r="1332" spans="1:2" x14ac:dyDescent="0.4">
      <c r="A1332" t="s">
        <v>1687</v>
      </c>
      <c r="B1332" t="s">
        <v>407</v>
      </c>
    </row>
    <row r="1333" spans="1:2" x14ac:dyDescent="0.4">
      <c r="A1333" t="s">
        <v>1688</v>
      </c>
      <c r="B1333" t="s">
        <v>412</v>
      </c>
    </row>
    <row r="1334" spans="1:2" x14ac:dyDescent="0.4">
      <c r="A1334" t="s">
        <v>1689</v>
      </c>
      <c r="B1334" t="s">
        <v>1690</v>
      </c>
    </row>
    <row r="1335" spans="1:2" x14ac:dyDescent="0.4">
      <c r="A1335" t="s">
        <v>1691</v>
      </c>
      <c r="B1335" t="s">
        <v>412</v>
      </c>
    </row>
    <row r="1336" spans="1:2" x14ac:dyDescent="0.4">
      <c r="A1336" t="s">
        <v>1692</v>
      </c>
      <c r="B1336" t="s">
        <v>411</v>
      </c>
    </row>
    <row r="1337" spans="1:2" x14ac:dyDescent="0.4">
      <c r="A1337" t="s">
        <v>1693</v>
      </c>
      <c r="B1337" t="s">
        <v>888</v>
      </c>
    </row>
    <row r="1338" spans="1:2" x14ac:dyDescent="0.4">
      <c r="A1338" t="s">
        <v>1694</v>
      </c>
      <c r="B1338" t="s">
        <v>1695</v>
      </c>
    </row>
    <row r="1339" spans="1:2" x14ac:dyDescent="0.4">
      <c r="A1339" t="s">
        <v>1696</v>
      </c>
      <c r="B1339" t="s">
        <v>418</v>
      </c>
    </row>
    <row r="1340" spans="1:2" x14ac:dyDescent="0.4">
      <c r="A1340" t="s">
        <v>1697</v>
      </c>
      <c r="B1340" t="s">
        <v>461</v>
      </c>
    </row>
    <row r="1341" spans="1:2" x14ac:dyDescent="0.4">
      <c r="A1341" t="s">
        <v>1698</v>
      </c>
      <c r="B1341" t="s">
        <v>418</v>
      </c>
    </row>
    <row r="1342" spans="1:2" x14ac:dyDescent="0.4">
      <c r="A1342" t="s">
        <v>1699</v>
      </c>
      <c r="B1342" t="s">
        <v>418</v>
      </c>
    </row>
    <row r="1343" spans="1:2" x14ac:dyDescent="0.4">
      <c r="A1343" t="s">
        <v>1700</v>
      </c>
      <c r="B1343" t="s">
        <v>418</v>
      </c>
    </row>
    <row r="1344" spans="1:2" x14ac:dyDescent="0.4">
      <c r="A1344" t="s">
        <v>1701</v>
      </c>
      <c r="B1344" t="s">
        <v>461</v>
      </c>
    </row>
    <row r="1345" spans="1:2" x14ac:dyDescent="0.4">
      <c r="A1345" t="s">
        <v>1702</v>
      </c>
      <c r="B1345" t="s">
        <v>1703</v>
      </c>
    </row>
    <row r="1346" spans="1:2" x14ac:dyDescent="0.4">
      <c r="A1346" t="s">
        <v>1704</v>
      </c>
      <c r="B1346" t="s">
        <v>418</v>
      </c>
    </row>
    <row r="1347" spans="1:2" x14ac:dyDescent="0.4">
      <c r="A1347" t="s">
        <v>1705</v>
      </c>
      <c r="B1347" t="s">
        <v>413</v>
      </c>
    </row>
    <row r="1348" spans="1:2" x14ac:dyDescent="0.4">
      <c r="A1348" t="s">
        <v>1706</v>
      </c>
      <c r="B1348" t="s">
        <v>413</v>
      </c>
    </row>
    <row r="1349" spans="1:2" x14ac:dyDescent="0.4">
      <c r="A1349" t="s">
        <v>1707</v>
      </c>
      <c r="B1349" t="s">
        <v>413</v>
      </c>
    </row>
    <row r="1350" spans="1:2" x14ac:dyDescent="0.4">
      <c r="A1350" t="s">
        <v>1708</v>
      </c>
      <c r="B1350" t="s">
        <v>413</v>
      </c>
    </row>
    <row r="1351" spans="1:2" x14ac:dyDescent="0.4">
      <c r="A1351" t="s">
        <v>1709</v>
      </c>
      <c r="B1351" t="s">
        <v>413</v>
      </c>
    </row>
    <row r="1352" spans="1:2" x14ac:dyDescent="0.4">
      <c r="A1352" t="s">
        <v>1710</v>
      </c>
      <c r="B1352" t="s">
        <v>413</v>
      </c>
    </row>
    <row r="1353" spans="1:2" x14ac:dyDescent="0.4">
      <c r="A1353" t="s">
        <v>1711</v>
      </c>
      <c r="B1353" t="s">
        <v>413</v>
      </c>
    </row>
    <row r="1354" spans="1:2" x14ac:dyDescent="0.4">
      <c r="A1354" t="s">
        <v>1712</v>
      </c>
      <c r="B1354" t="s">
        <v>413</v>
      </c>
    </row>
    <row r="1355" spans="1:2" x14ac:dyDescent="0.4">
      <c r="A1355" t="s">
        <v>1713</v>
      </c>
      <c r="B1355" t="s">
        <v>345</v>
      </c>
    </row>
    <row r="1356" spans="1:2" x14ac:dyDescent="0.4">
      <c r="A1356" t="s">
        <v>1714</v>
      </c>
      <c r="B1356" t="s">
        <v>455</v>
      </c>
    </row>
    <row r="1357" spans="1:2" x14ac:dyDescent="0.4">
      <c r="A1357" t="s">
        <v>1715</v>
      </c>
      <c r="B1357" t="s">
        <v>455</v>
      </c>
    </row>
    <row r="1358" spans="1:2" x14ac:dyDescent="0.4">
      <c r="A1358" t="s">
        <v>1716</v>
      </c>
      <c r="B1358" t="s">
        <v>455</v>
      </c>
    </row>
    <row r="1359" spans="1:2" x14ac:dyDescent="0.4">
      <c r="A1359" t="s">
        <v>1717</v>
      </c>
      <c r="B1359" t="s">
        <v>455</v>
      </c>
    </row>
    <row r="1360" spans="1:2" x14ac:dyDescent="0.4">
      <c r="A1360" t="s">
        <v>1718</v>
      </c>
      <c r="B1360" t="s">
        <v>349</v>
      </c>
    </row>
    <row r="1361" spans="1:2" x14ac:dyDescent="0.4">
      <c r="A1361" t="s">
        <v>1719</v>
      </c>
      <c r="B1361" t="s">
        <v>342</v>
      </c>
    </row>
    <row r="1362" spans="1:2" x14ac:dyDescent="0.4">
      <c r="A1362" t="s">
        <v>1720</v>
      </c>
      <c r="B1362" t="s">
        <v>342</v>
      </c>
    </row>
    <row r="1363" spans="1:2" x14ac:dyDescent="0.4">
      <c r="A1363" t="s">
        <v>1721</v>
      </c>
      <c r="B1363" t="s">
        <v>342</v>
      </c>
    </row>
    <row r="1364" spans="1:2" x14ac:dyDescent="0.4">
      <c r="A1364" t="s">
        <v>1722</v>
      </c>
      <c r="B1364" t="s">
        <v>1103</v>
      </c>
    </row>
    <row r="1365" spans="1:2" x14ac:dyDescent="0.4">
      <c r="A1365" t="s">
        <v>1723</v>
      </c>
      <c r="B1365" t="s">
        <v>1103</v>
      </c>
    </row>
    <row r="1366" spans="1:2" x14ac:dyDescent="0.4">
      <c r="A1366" t="s">
        <v>1724</v>
      </c>
      <c r="B1366" t="s">
        <v>1725</v>
      </c>
    </row>
    <row r="1367" spans="1:2" x14ac:dyDescent="0.4">
      <c r="A1367" t="s">
        <v>1726</v>
      </c>
      <c r="B1367" t="s">
        <v>342</v>
      </c>
    </row>
    <row r="1368" spans="1:2" x14ac:dyDescent="0.4">
      <c r="A1368" t="s">
        <v>1727</v>
      </c>
      <c r="B1368" t="s">
        <v>1725</v>
      </c>
    </row>
    <row r="1369" spans="1:2" x14ac:dyDescent="0.4">
      <c r="A1369" t="s">
        <v>1728</v>
      </c>
      <c r="B1369" t="s">
        <v>342</v>
      </c>
    </row>
    <row r="1370" spans="1:2" x14ac:dyDescent="0.4">
      <c r="A1370" t="s">
        <v>1729</v>
      </c>
      <c r="B1370" t="s">
        <v>342</v>
      </c>
    </row>
    <row r="1371" spans="1:2" x14ac:dyDescent="0.4">
      <c r="A1371" t="s">
        <v>1730</v>
      </c>
      <c r="B1371" t="s">
        <v>475</v>
      </c>
    </row>
    <row r="1372" spans="1:2" x14ac:dyDescent="0.4">
      <c r="A1372" t="s">
        <v>1731</v>
      </c>
      <c r="B1372" t="s">
        <v>475</v>
      </c>
    </row>
    <row r="1373" spans="1:2" x14ac:dyDescent="0.4">
      <c r="A1373" t="s">
        <v>1732</v>
      </c>
      <c r="B1373" t="s">
        <v>475</v>
      </c>
    </row>
    <row r="1374" spans="1:2" x14ac:dyDescent="0.4">
      <c r="A1374" t="s">
        <v>1733</v>
      </c>
      <c r="B1374" t="s">
        <v>1112</v>
      </c>
    </row>
    <row r="1375" spans="1:2" x14ac:dyDescent="0.4">
      <c r="A1375" t="s">
        <v>1734</v>
      </c>
      <c r="B1375" t="s">
        <v>1112</v>
      </c>
    </row>
    <row r="1376" spans="1:2" x14ac:dyDescent="0.4">
      <c r="A1376" t="s">
        <v>1735</v>
      </c>
      <c r="B1376" t="s">
        <v>344</v>
      </c>
    </row>
    <row r="1377" spans="1:2" x14ac:dyDescent="0.4">
      <c r="A1377" t="s">
        <v>1736</v>
      </c>
      <c r="B1377" t="s">
        <v>405</v>
      </c>
    </row>
    <row r="1378" spans="1:2" x14ac:dyDescent="0.4">
      <c r="A1378" t="s">
        <v>1737</v>
      </c>
      <c r="B1378" t="s">
        <v>1112</v>
      </c>
    </row>
    <row r="1379" spans="1:2" x14ac:dyDescent="0.4">
      <c r="A1379" t="s">
        <v>1738</v>
      </c>
      <c r="B1379" t="s">
        <v>1739</v>
      </c>
    </row>
    <row r="1380" spans="1:2" x14ac:dyDescent="0.4">
      <c r="A1380" t="s">
        <v>1740</v>
      </c>
      <c r="B1380" t="s">
        <v>1112</v>
      </c>
    </row>
    <row r="1381" spans="1:2" x14ac:dyDescent="0.4">
      <c r="A1381" t="s">
        <v>1741</v>
      </c>
      <c r="B1381" t="s">
        <v>544</v>
      </c>
    </row>
    <row r="1382" spans="1:2" x14ac:dyDescent="0.4">
      <c r="A1382" t="s">
        <v>1742</v>
      </c>
      <c r="B1382" t="s">
        <v>402</v>
      </c>
    </row>
    <row r="1383" spans="1:2" x14ac:dyDescent="0.4">
      <c r="A1383" t="s">
        <v>1743</v>
      </c>
      <c r="B1383" t="s">
        <v>578</v>
      </c>
    </row>
    <row r="1384" spans="1:2" x14ac:dyDescent="0.4">
      <c r="A1384" t="s">
        <v>1744</v>
      </c>
      <c r="B1384" t="s">
        <v>1112</v>
      </c>
    </row>
    <row r="1385" spans="1:2" x14ac:dyDescent="0.4">
      <c r="A1385" t="s">
        <v>1745</v>
      </c>
      <c r="B1385" t="s">
        <v>402</v>
      </c>
    </row>
    <row r="1386" spans="1:2" x14ac:dyDescent="0.4">
      <c r="A1386" t="s">
        <v>1746</v>
      </c>
      <c r="B1386" t="s">
        <v>610</v>
      </c>
    </row>
    <row r="1387" spans="1:2" x14ac:dyDescent="0.4">
      <c r="A1387" t="s">
        <v>1747</v>
      </c>
      <c r="B1387" t="s">
        <v>479</v>
      </c>
    </row>
    <row r="1388" spans="1:2" x14ac:dyDescent="0.4">
      <c r="A1388" t="s">
        <v>1748</v>
      </c>
      <c r="B1388" t="s">
        <v>578</v>
      </c>
    </row>
    <row r="1389" spans="1:2" x14ac:dyDescent="0.4">
      <c r="A1389" t="s">
        <v>1749</v>
      </c>
      <c r="B1389" t="s">
        <v>479</v>
      </c>
    </row>
    <row r="1390" spans="1:2" x14ac:dyDescent="0.4">
      <c r="A1390" t="s">
        <v>1750</v>
      </c>
      <c r="B1390" t="s">
        <v>1513</v>
      </c>
    </row>
    <row r="1391" spans="1:2" x14ac:dyDescent="0.4">
      <c r="A1391" t="s">
        <v>1751</v>
      </c>
      <c r="B1391" t="s">
        <v>612</v>
      </c>
    </row>
    <row r="1392" spans="1:2" x14ac:dyDescent="0.4">
      <c r="A1392" t="s">
        <v>1752</v>
      </c>
      <c r="B1392" t="s">
        <v>917</v>
      </c>
    </row>
    <row r="1393" spans="1:2" x14ac:dyDescent="0.4">
      <c r="A1393" t="s">
        <v>1753</v>
      </c>
      <c r="B1393" t="s">
        <v>957</v>
      </c>
    </row>
    <row r="1394" spans="1:2" x14ac:dyDescent="0.4">
      <c r="A1394" t="s">
        <v>1754</v>
      </c>
      <c r="B1394" t="s">
        <v>1073</v>
      </c>
    </row>
    <row r="1395" spans="1:2" x14ac:dyDescent="0.4">
      <c r="A1395" t="s">
        <v>1755</v>
      </c>
      <c r="B1395" t="s">
        <v>402</v>
      </c>
    </row>
    <row r="1396" spans="1:2" x14ac:dyDescent="0.4">
      <c r="A1396" t="s">
        <v>1756</v>
      </c>
      <c r="B1396" t="s">
        <v>402</v>
      </c>
    </row>
    <row r="1397" spans="1:2" x14ac:dyDescent="0.4">
      <c r="A1397" t="s">
        <v>1757</v>
      </c>
      <c r="B1397" t="s">
        <v>1758</v>
      </c>
    </row>
    <row r="1398" spans="1:2" x14ac:dyDescent="0.4">
      <c r="A1398" t="s">
        <v>1759</v>
      </c>
      <c r="B1398" t="s">
        <v>466</v>
      </c>
    </row>
    <row r="1399" spans="1:2" x14ac:dyDescent="0.4">
      <c r="A1399" t="s">
        <v>1760</v>
      </c>
      <c r="B1399" t="s">
        <v>402</v>
      </c>
    </row>
    <row r="1400" spans="1:2" x14ac:dyDescent="0.4">
      <c r="A1400" t="s">
        <v>1761</v>
      </c>
      <c r="B1400" t="s">
        <v>1073</v>
      </c>
    </row>
    <row r="1401" spans="1:2" x14ac:dyDescent="0.4">
      <c r="A1401" t="s">
        <v>1762</v>
      </c>
      <c r="B1401" t="s">
        <v>402</v>
      </c>
    </row>
    <row r="1402" spans="1:2" x14ac:dyDescent="0.4">
      <c r="A1402" t="s">
        <v>1763</v>
      </c>
      <c r="B1402" t="s">
        <v>421</v>
      </c>
    </row>
    <row r="1403" spans="1:2" x14ac:dyDescent="0.4">
      <c r="A1403" t="s">
        <v>1764</v>
      </c>
      <c r="B1403" t="s">
        <v>402</v>
      </c>
    </row>
    <row r="1404" spans="1:2" x14ac:dyDescent="0.4">
      <c r="A1404" t="s">
        <v>1765</v>
      </c>
      <c r="B1404" t="s">
        <v>590</v>
      </c>
    </row>
    <row r="1405" spans="1:2" x14ac:dyDescent="0.4">
      <c r="A1405" t="s">
        <v>1766</v>
      </c>
      <c r="B1405" t="s">
        <v>342</v>
      </c>
    </row>
    <row r="1406" spans="1:2" x14ac:dyDescent="0.4">
      <c r="A1406" t="s">
        <v>1767</v>
      </c>
      <c r="B1406" t="s">
        <v>590</v>
      </c>
    </row>
    <row r="1407" spans="1:2" x14ac:dyDescent="0.4">
      <c r="A1407" t="s">
        <v>1768</v>
      </c>
      <c r="B1407" t="s">
        <v>402</v>
      </c>
    </row>
    <row r="1408" spans="1:2" x14ac:dyDescent="0.4">
      <c r="A1408" t="s">
        <v>1769</v>
      </c>
      <c r="B1408" t="s">
        <v>545</v>
      </c>
    </row>
    <row r="1409" spans="1:2" x14ac:dyDescent="0.4">
      <c r="A1409" t="s">
        <v>1770</v>
      </c>
      <c r="B1409" t="s">
        <v>485</v>
      </c>
    </row>
    <row r="1410" spans="1:2" x14ac:dyDescent="0.4">
      <c r="A1410" t="s">
        <v>1771</v>
      </c>
      <c r="B1410" t="s">
        <v>612</v>
      </c>
    </row>
    <row r="1411" spans="1:2" x14ac:dyDescent="0.4">
      <c r="A1411" t="s">
        <v>1772</v>
      </c>
      <c r="B1411" t="s">
        <v>458</v>
      </c>
    </row>
    <row r="1412" spans="1:2" x14ac:dyDescent="0.4">
      <c r="A1412" t="s">
        <v>1773</v>
      </c>
      <c r="B1412" t="s">
        <v>957</v>
      </c>
    </row>
    <row r="1413" spans="1:2" x14ac:dyDescent="0.4">
      <c r="A1413" t="s">
        <v>1774</v>
      </c>
      <c r="B1413" t="s">
        <v>458</v>
      </c>
    </row>
    <row r="1414" spans="1:2" x14ac:dyDescent="0.4">
      <c r="A1414" t="s">
        <v>1775</v>
      </c>
      <c r="B1414" t="s">
        <v>343</v>
      </c>
    </row>
    <row r="1415" spans="1:2" x14ac:dyDescent="0.4">
      <c r="A1415" t="s">
        <v>1776</v>
      </c>
      <c r="B1415" t="s">
        <v>485</v>
      </c>
    </row>
    <row r="1416" spans="1:2" x14ac:dyDescent="0.4">
      <c r="A1416" t="s">
        <v>1777</v>
      </c>
      <c r="B1416" t="s">
        <v>455</v>
      </c>
    </row>
    <row r="1417" spans="1:2" x14ac:dyDescent="0.4">
      <c r="A1417" t="s">
        <v>1778</v>
      </c>
      <c r="B1417" t="s">
        <v>834</v>
      </c>
    </row>
    <row r="1418" spans="1:2" x14ac:dyDescent="0.4">
      <c r="A1418" t="s">
        <v>1779</v>
      </c>
      <c r="B1418" t="s">
        <v>421</v>
      </c>
    </row>
    <row r="1419" spans="1:2" x14ac:dyDescent="0.4">
      <c r="A1419" t="s">
        <v>1780</v>
      </c>
      <c r="B1419" t="s">
        <v>485</v>
      </c>
    </row>
    <row r="1420" spans="1:2" x14ac:dyDescent="0.4">
      <c r="A1420" t="s">
        <v>1781</v>
      </c>
      <c r="B1420" t="s">
        <v>402</v>
      </c>
    </row>
    <row r="1421" spans="1:2" x14ac:dyDescent="0.4">
      <c r="A1421" t="s">
        <v>1782</v>
      </c>
      <c r="B1421" t="s">
        <v>417</v>
      </c>
    </row>
    <row r="1422" spans="1:2" x14ac:dyDescent="0.4">
      <c r="A1422" t="s">
        <v>1783</v>
      </c>
      <c r="B1422" t="s">
        <v>957</v>
      </c>
    </row>
    <row r="1423" spans="1:2" x14ac:dyDescent="0.4">
      <c r="A1423" t="s">
        <v>1784</v>
      </c>
      <c r="B1423" t="s">
        <v>416</v>
      </c>
    </row>
    <row r="1424" spans="1:2" x14ac:dyDescent="0.4">
      <c r="A1424" t="s">
        <v>1785</v>
      </c>
      <c r="B1424" t="s">
        <v>402</v>
      </c>
    </row>
    <row r="1425" spans="1:2" x14ac:dyDescent="0.4">
      <c r="A1425" t="s">
        <v>1786</v>
      </c>
      <c r="B1425" t="s">
        <v>957</v>
      </c>
    </row>
    <row r="1426" spans="1:2" x14ac:dyDescent="0.4">
      <c r="A1426" t="s">
        <v>1787</v>
      </c>
      <c r="B1426" t="s">
        <v>1187</v>
      </c>
    </row>
    <row r="1427" spans="1:2" x14ac:dyDescent="0.4">
      <c r="A1427" t="s">
        <v>1788</v>
      </c>
      <c r="B1427" t="s">
        <v>344</v>
      </c>
    </row>
    <row r="1428" spans="1:2" x14ac:dyDescent="0.4">
      <c r="A1428" t="s">
        <v>1789</v>
      </c>
      <c r="B1428" t="s">
        <v>421</v>
      </c>
    </row>
    <row r="1429" spans="1:2" x14ac:dyDescent="0.4">
      <c r="A1429" t="s">
        <v>1790</v>
      </c>
      <c r="B1429" t="s">
        <v>406</v>
      </c>
    </row>
    <row r="1430" spans="1:2" x14ac:dyDescent="0.4">
      <c r="A1430" t="s">
        <v>1791</v>
      </c>
      <c r="B1430" t="s">
        <v>872</v>
      </c>
    </row>
    <row r="1431" spans="1:2" x14ac:dyDescent="0.4">
      <c r="A1431" t="s">
        <v>1792</v>
      </c>
      <c r="B1431" t="s">
        <v>957</v>
      </c>
    </row>
    <row r="1432" spans="1:2" x14ac:dyDescent="0.4">
      <c r="A1432" t="s">
        <v>1793</v>
      </c>
      <c r="B1432" t="s">
        <v>416</v>
      </c>
    </row>
    <row r="1433" spans="1:2" x14ac:dyDescent="0.4">
      <c r="A1433" t="s">
        <v>1794</v>
      </c>
      <c r="B1433" t="s">
        <v>455</v>
      </c>
    </row>
    <row r="1434" spans="1:2" x14ac:dyDescent="0.4">
      <c r="A1434" t="s">
        <v>1795</v>
      </c>
      <c r="B1434" t="s">
        <v>458</v>
      </c>
    </row>
    <row r="1435" spans="1:2" x14ac:dyDescent="0.4">
      <c r="A1435" t="s">
        <v>1796</v>
      </c>
      <c r="B1435" t="s">
        <v>612</v>
      </c>
    </row>
    <row r="1436" spans="1:2" x14ac:dyDescent="0.4">
      <c r="A1436" t="s">
        <v>1797</v>
      </c>
      <c r="B1436" t="s">
        <v>416</v>
      </c>
    </row>
    <row r="1437" spans="1:2" x14ac:dyDescent="0.4">
      <c r="A1437" t="s">
        <v>1798</v>
      </c>
      <c r="B1437" t="s">
        <v>421</v>
      </c>
    </row>
    <row r="1438" spans="1:2" x14ac:dyDescent="0.4">
      <c r="A1438" t="s">
        <v>1799</v>
      </c>
      <c r="B1438" t="s">
        <v>957</v>
      </c>
    </row>
    <row r="1439" spans="1:2" x14ac:dyDescent="0.4">
      <c r="A1439" t="s">
        <v>1800</v>
      </c>
      <c r="B1439" t="s">
        <v>957</v>
      </c>
    </row>
    <row r="1440" spans="1:2" x14ac:dyDescent="0.4">
      <c r="A1440" t="s">
        <v>1801</v>
      </c>
      <c r="B1440" t="s">
        <v>343</v>
      </c>
    </row>
    <row r="1441" spans="1:2" x14ac:dyDescent="0.4">
      <c r="A1441" t="s">
        <v>1802</v>
      </c>
      <c r="B1441" t="s">
        <v>466</v>
      </c>
    </row>
    <row r="1442" spans="1:2" x14ac:dyDescent="0.4">
      <c r="A1442" t="s">
        <v>1803</v>
      </c>
      <c r="B1442" t="s">
        <v>545</v>
      </c>
    </row>
    <row r="1443" spans="1:2" x14ac:dyDescent="0.4">
      <c r="A1443" t="s">
        <v>1804</v>
      </c>
      <c r="B1443" t="s">
        <v>472</v>
      </c>
    </row>
    <row r="1444" spans="1:2" x14ac:dyDescent="0.4">
      <c r="A1444" t="s">
        <v>1805</v>
      </c>
      <c r="B1444" t="s">
        <v>416</v>
      </c>
    </row>
    <row r="1445" spans="1:2" x14ac:dyDescent="0.4">
      <c r="A1445" t="s">
        <v>1806</v>
      </c>
      <c r="B1445" t="s">
        <v>490</v>
      </c>
    </row>
    <row r="1446" spans="1:2" x14ac:dyDescent="0.4">
      <c r="A1446" t="s">
        <v>1807</v>
      </c>
      <c r="B1446" t="s">
        <v>421</v>
      </c>
    </row>
    <row r="1447" spans="1:2" x14ac:dyDescent="0.4">
      <c r="A1447" t="s">
        <v>1808</v>
      </c>
      <c r="B1447" t="s">
        <v>472</v>
      </c>
    </row>
    <row r="1448" spans="1:2" x14ac:dyDescent="0.4">
      <c r="A1448" t="s">
        <v>1809</v>
      </c>
      <c r="B1448" t="s">
        <v>417</v>
      </c>
    </row>
    <row r="1449" spans="1:2" x14ac:dyDescent="0.4">
      <c r="A1449" t="s">
        <v>1810</v>
      </c>
      <c r="B1449" t="s">
        <v>485</v>
      </c>
    </row>
    <row r="1450" spans="1:2" x14ac:dyDescent="0.4">
      <c r="A1450" t="s">
        <v>1811</v>
      </c>
      <c r="B1450" t="s">
        <v>545</v>
      </c>
    </row>
    <row r="1451" spans="1:2" x14ac:dyDescent="0.4">
      <c r="A1451" t="s">
        <v>1812</v>
      </c>
      <c r="B1451" t="s">
        <v>421</v>
      </c>
    </row>
    <row r="1452" spans="1:2" x14ac:dyDescent="0.4">
      <c r="A1452" t="s">
        <v>1813</v>
      </c>
      <c r="B1452" t="s">
        <v>455</v>
      </c>
    </row>
    <row r="1453" spans="1:2" x14ac:dyDescent="0.4">
      <c r="A1453" t="s">
        <v>1814</v>
      </c>
      <c r="B1453" t="s">
        <v>1598</v>
      </c>
    </row>
    <row r="1454" spans="1:2" x14ac:dyDescent="0.4">
      <c r="A1454" t="s">
        <v>1815</v>
      </c>
      <c r="B1454" t="s">
        <v>957</v>
      </c>
    </row>
    <row r="1455" spans="1:2" x14ac:dyDescent="0.4">
      <c r="A1455" t="s">
        <v>1816</v>
      </c>
      <c r="B1455" t="s">
        <v>343</v>
      </c>
    </row>
    <row r="1456" spans="1:2" x14ac:dyDescent="0.4">
      <c r="A1456" t="s">
        <v>1817</v>
      </c>
      <c r="B1456" t="s">
        <v>458</v>
      </c>
    </row>
    <row r="1457" spans="1:2" x14ac:dyDescent="0.4">
      <c r="A1457" t="s">
        <v>1818</v>
      </c>
      <c r="B1457" t="s">
        <v>402</v>
      </c>
    </row>
    <row r="1458" spans="1:2" x14ac:dyDescent="0.4">
      <c r="A1458" t="s">
        <v>1869</v>
      </c>
      <c r="B1458" t="s">
        <v>545</v>
      </c>
    </row>
    <row r="1459" spans="1:2" x14ac:dyDescent="0.4">
      <c r="A1459" t="s">
        <v>1819</v>
      </c>
      <c r="B1459" t="s">
        <v>405</v>
      </c>
    </row>
    <row r="1460" spans="1:2" x14ac:dyDescent="0.4">
      <c r="A1460" t="s">
        <v>1820</v>
      </c>
      <c r="B1460" t="s">
        <v>472</v>
      </c>
    </row>
    <row r="1461" spans="1:2" x14ac:dyDescent="0.4">
      <c r="A1461" t="s">
        <v>1821</v>
      </c>
      <c r="B1461" t="s">
        <v>343</v>
      </c>
    </row>
    <row r="1462" spans="1:2" x14ac:dyDescent="0.4">
      <c r="A1462" t="s">
        <v>1822</v>
      </c>
      <c r="B1462" t="s">
        <v>406</v>
      </c>
    </row>
    <row r="1463" spans="1:2" x14ac:dyDescent="0.4">
      <c r="A1463" t="s">
        <v>1823</v>
      </c>
      <c r="B1463" t="s">
        <v>455</v>
      </c>
    </row>
    <row r="1464" spans="1:2" x14ac:dyDescent="0.4">
      <c r="A1464" t="s">
        <v>1824</v>
      </c>
      <c r="B1464" t="s">
        <v>590</v>
      </c>
    </row>
    <row r="1465" spans="1:2" x14ac:dyDescent="0.4">
      <c r="A1465" t="s">
        <v>1825</v>
      </c>
      <c r="B1465" t="s">
        <v>485</v>
      </c>
    </row>
    <row r="1466" spans="1:2" x14ac:dyDescent="0.4">
      <c r="A1466" t="s">
        <v>1826</v>
      </c>
      <c r="B1466" t="s">
        <v>859</v>
      </c>
    </row>
    <row r="1467" spans="1:2" x14ac:dyDescent="0.4">
      <c r="A1467" t="s">
        <v>1827</v>
      </c>
      <c r="B1467" t="s">
        <v>544</v>
      </c>
    </row>
    <row r="1468" spans="1:2" x14ac:dyDescent="0.4">
      <c r="A1468" t="s">
        <v>1828</v>
      </c>
      <c r="B1468" t="s">
        <v>406</v>
      </c>
    </row>
    <row r="1469" spans="1:2" x14ac:dyDescent="0.4">
      <c r="A1469" t="s">
        <v>1829</v>
      </c>
      <c r="B1469" t="s">
        <v>411</v>
      </c>
    </row>
    <row r="1470" spans="1:2" x14ac:dyDescent="0.4">
      <c r="A1470" t="s">
        <v>1830</v>
      </c>
      <c r="B1470" t="s">
        <v>407</v>
      </c>
    </row>
    <row r="1471" spans="1:2" x14ac:dyDescent="0.4">
      <c r="A1471" t="s">
        <v>1831</v>
      </c>
      <c r="B1471" t="s">
        <v>407</v>
      </c>
    </row>
    <row r="1472" spans="1:2" x14ac:dyDescent="0.4">
      <c r="A1472" t="s">
        <v>1832</v>
      </c>
      <c r="B1472" t="s">
        <v>1187</v>
      </c>
    </row>
    <row r="1473" spans="1:2" x14ac:dyDescent="0.4">
      <c r="A1473" t="s">
        <v>1833</v>
      </c>
      <c r="B1473" t="s">
        <v>411</v>
      </c>
    </row>
    <row r="1474" spans="1:2" x14ac:dyDescent="0.4">
      <c r="A1474" t="s">
        <v>1834</v>
      </c>
      <c r="B1474" t="s">
        <v>1703</v>
      </c>
    </row>
    <row r="1475" spans="1:2" x14ac:dyDescent="0.4">
      <c r="A1475" t="s">
        <v>1835</v>
      </c>
      <c r="B1475" t="s">
        <v>461</v>
      </c>
    </row>
    <row r="1476" spans="1:2" x14ac:dyDescent="0.4">
      <c r="A1476" t="s">
        <v>1836</v>
      </c>
      <c r="B1476" t="s">
        <v>407</v>
      </c>
    </row>
    <row r="1477" spans="1:2" x14ac:dyDescent="0.4">
      <c r="A1477" t="s">
        <v>1837</v>
      </c>
      <c r="B1477" t="s">
        <v>407</v>
      </c>
    </row>
    <row r="1478" spans="1:2" x14ac:dyDescent="0.4">
      <c r="A1478" t="s">
        <v>1838</v>
      </c>
      <c r="B1478" t="s">
        <v>1101</v>
      </c>
    </row>
    <row r="1479" spans="1:2" x14ac:dyDescent="0.4">
      <c r="A1479" t="s">
        <v>1839</v>
      </c>
      <c r="B1479" t="s">
        <v>411</v>
      </c>
    </row>
    <row r="1480" spans="1:2" x14ac:dyDescent="0.4">
      <c r="A1480" t="s">
        <v>1840</v>
      </c>
      <c r="B1480" t="s">
        <v>888</v>
      </c>
    </row>
    <row r="1481" spans="1:2" x14ac:dyDescent="0.4">
      <c r="A1481" t="s">
        <v>1841</v>
      </c>
      <c r="B1481" t="s">
        <v>1101</v>
      </c>
    </row>
    <row r="1482" spans="1:2" x14ac:dyDescent="0.4">
      <c r="A1482" t="s">
        <v>1842</v>
      </c>
      <c r="B1482" t="s">
        <v>461</v>
      </c>
    </row>
    <row r="1483" spans="1:2" x14ac:dyDescent="0.4">
      <c r="A1483" t="s">
        <v>1843</v>
      </c>
      <c r="B1483" t="s">
        <v>418</v>
      </c>
    </row>
    <row r="1484" spans="1:2" x14ac:dyDescent="0.4">
      <c r="A1484" t="s">
        <v>1844</v>
      </c>
      <c r="B1484" t="s">
        <v>418</v>
      </c>
    </row>
    <row r="1485" spans="1:2" x14ac:dyDescent="0.4">
      <c r="A1485" t="s">
        <v>1868</v>
      </c>
      <c r="B1485" t="s">
        <v>1845</v>
      </c>
    </row>
    <row r="1486" spans="1:2" x14ac:dyDescent="0.4">
      <c r="A1486" t="s">
        <v>1846</v>
      </c>
      <c r="B1486" t="s">
        <v>413</v>
      </c>
    </row>
    <row r="1487" spans="1:2" x14ac:dyDescent="0.4">
      <c r="A1487" t="s">
        <v>1847</v>
      </c>
      <c r="B1487" t="s">
        <v>413</v>
      </c>
    </row>
    <row r="1488" spans="1:2" x14ac:dyDescent="0.4">
      <c r="A1488" t="s">
        <v>1848</v>
      </c>
      <c r="B1488" t="s">
        <v>345</v>
      </c>
    </row>
    <row r="1489" spans="1:2" x14ac:dyDescent="0.4">
      <c r="A1489" t="s">
        <v>1849</v>
      </c>
      <c r="B1489" t="s">
        <v>455</v>
      </c>
    </row>
    <row r="1490" spans="1:2" x14ac:dyDescent="0.4">
      <c r="A1490" t="s">
        <v>1850</v>
      </c>
      <c r="B1490" t="s">
        <v>455</v>
      </c>
    </row>
    <row r="1491" spans="1:2" x14ac:dyDescent="0.4">
      <c r="A1491" t="s">
        <v>1851</v>
      </c>
      <c r="B1491" t="s">
        <v>455</v>
      </c>
    </row>
    <row r="1492" spans="1:2" x14ac:dyDescent="0.4">
      <c r="A1492" t="s">
        <v>1852</v>
      </c>
      <c r="B1492" t="s">
        <v>475</v>
      </c>
    </row>
    <row r="1493" spans="1:2" x14ac:dyDescent="0.4">
      <c r="A1493" t="s">
        <v>1853</v>
      </c>
      <c r="B1493" t="s">
        <v>872</v>
      </c>
    </row>
    <row r="1494" spans="1:2" x14ac:dyDescent="0.4">
      <c r="A1494" t="s">
        <v>1854</v>
      </c>
      <c r="B1494" t="s">
        <v>402</v>
      </c>
    </row>
    <row r="1495" spans="1:2" x14ac:dyDescent="0.4">
      <c r="A1495" t="s">
        <v>1855</v>
      </c>
      <c r="B1495" t="s">
        <v>402</v>
      </c>
    </row>
    <row r="1496" spans="1:2" x14ac:dyDescent="0.4">
      <c r="A1496" t="s">
        <v>1856</v>
      </c>
      <c r="B1496" t="s">
        <v>1513</v>
      </c>
    </row>
    <row r="1497" spans="1:2" x14ac:dyDescent="0.4">
      <c r="A1497" t="s">
        <v>1857</v>
      </c>
      <c r="B1497" t="s">
        <v>590</v>
      </c>
    </row>
    <row r="1498" spans="1:2" x14ac:dyDescent="0.4">
      <c r="A1498" t="s">
        <v>1858</v>
      </c>
      <c r="B1498" t="s">
        <v>1513</v>
      </c>
    </row>
    <row r="1499" spans="1:2" x14ac:dyDescent="0.4">
      <c r="A1499" t="s">
        <v>1859</v>
      </c>
      <c r="B1499" t="s">
        <v>402</v>
      </c>
    </row>
    <row r="1500" spans="1:2" x14ac:dyDescent="0.4">
      <c r="A1500" t="s">
        <v>1860</v>
      </c>
      <c r="B1500" t="s">
        <v>1861</v>
      </c>
    </row>
    <row r="1501" spans="1:2" x14ac:dyDescent="0.4">
      <c r="A1501" t="s">
        <v>1862</v>
      </c>
      <c r="B1501" t="s">
        <v>479</v>
      </c>
    </row>
    <row r="1502" spans="1:2" x14ac:dyDescent="0.4">
      <c r="A1502" t="s">
        <v>1863</v>
      </c>
      <c r="B1502" t="s">
        <v>421</v>
      </c>
    </row>
    <row r="1503" spans="1:2" x14ac:dyDescent="0.4">
      <c r="A1503" t="s">
        <v>1864</v>
      </c>
      <c r="B1503" t="s">
        <v>472</v>
      </c>
    </row>
    <row r="1504" spans="1:2" x14ac:dyDescent="0.4">
      <c r="A1504" t="s">
        <v>1865</v>
      </c>
      <c r="B1504" t="s">
        <v>343</v>
      </c>
    </row>
    <row r="1505" spans="1:2" x14ac:dyDescent="0.4">
      <c r="A1505" t="s">
        <v>1866</v>
      </c>
      <c r="B1505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QS_Data</vt:lpstr>
      <vt:lpstr>ARWU_Data</vt:lpstr>
      <vt:lpstr>CWUR_Data</vt:lpstr>
      <vt:lpstr>META_RANK</vt:lpstr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vasarkar</dc:creator>
  <cp:lastModifiedBy>sunil vasarkar</cp:lastModifiedBy>
  <dcterms:created xsi:type="dcterms:W3CDTF">2026-05-02T17:19:52Z</dcterms:created>
  <dcterms:modified xsi:type="dcterms:W3CDTF">2026-05-02T22:02:52Z</dcterms:modified>
</cp:coreProperties>
</file>